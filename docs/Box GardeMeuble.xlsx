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cboi\Documents\Projets\vente-meubles\docs\"/>
    </mc:Choice>
  </mc:AlternateContent>
  <xr:revisionPtr revIDLastSave="0" documentId="13_ncr:1_{CD6A53CF-DC9F-47AA-9610-98739679DBBF}" xr6:coauthVersionLast="47" xr6:coauthVersionMax="47" xr10:uidLastSave="{00000000-0000-0000-0000-000000000000}"/>
  <bookViews>
    <workbookView xWindow="-98" yWindow="-98" windowWidth="21795" windowHeight="12975" xr2:uid="{FD343005-4382-4935-A274-266D1E9B84BE}"/>
  </bookViews>
  <sheets>
    <sheet name="Meubl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7" i="1" l="1"/>
  <c r="L1" i="1"/>
  <c r="L3" i="1" s="1"/>
  <c r="K3" i="1" s="1"/>
  <c r="J19" i="1"/>
  <c r="J20" i="1"/>
  <c r="J21" i="1"/>
  <c r="J22" i="1"/>
  <c r="J23" i="1"/>
  <c r="J24" i="1"/>
  <c r="J25" i="1"/>
  <c r="J26" i="1"/>
  <c r="J27" i="1"/>
  <c r="J28" i="1"/>
  <c r="J29" i="1"/>
  <c r="J30" i="1"/>
  <c r="J31" i="1"/>
  <c r="J32" i="1"/>
  <c r="J33" i="1"/>
  <c r="J34" i="1"/>
  <c r="J35" i="1"/>
  <c r="J18" i="1"/>
  <c r="O15" i="1"/>
  <c r="O14" i="1"/>
  <c r="O13" i="1"/>
  <c r="O12" i="1"/>
  <c r="O11" i="1"/>
  <c r="O10" i="1"/>
  <c r="O9" i="1"/>
  <c r="O8" i="1"/>
  <c r="O7" i="1"/>
  <c r="O6" i="1"/>
  <c r="O5" i="1"/>
  <c r="O4" i="1"/>
  <c r="O3" i="1"/>
  <c r="O2" i="1"/>
  <c r="N15" i="1"/>
  <c r="N14" i="1"/>
  <c r="N13" i="1"/>
  <c r="N12" i="1"/>
  <c r="N11" i="1"/>
  <c r="N10" i="1"/>
  <c r="N9" i="1"/>
  <c r="N8" i="1"/>
  <c r="N7" i="1"/>
  <c r="N6" i="1"/>
  <c r="N5" i="1"/>
  <c r="N4" i="1"/>
  <c r="N3" i="1"/>
  <c r="N2" i="1"/>
  <c r="M3" i="1"/>
  <c r="M4" i="1"/>
  <c r="M5" i="1"/>
  <c r="M6" i="1"/>
  <c r="M7" i="1"/>
  <c r="M8" i="1"/>
  <c r="M9" i="1"/>
  <c r="M10" i="1"/>
  <c r="M11" i="1"/>
  <c r="M12" i="1"/>
  <c r="M13" i="1"/>
  <c r="M14" i="1"/>
  <c r="M15" i="1"/>
  <c r="M2" i="1"/>
  <c r="G10" i="1"/>
  <c r="J16" i="1"/>
  <c r="G9" i="1"/>
  <c r="G6" i="1"/>
  <c r="G12" i="1"/>
  <c r="G5" i="1"/>
  <c r="G7" i="1"/>
  <c r="G8" i="1"/>
  <c r="G11" i="1"/>
  <c r="G13" i="1"/>
  <c r="G14" i="1"/>
  <c r="G2" i="1"/>
  <c r="G3" i="1"/>
  <c r="G4" i="1"/>
  <c r="L10" i="1" l="1"/>
  <c r="K10" i="1" s="1"/>
  <c r="L11" i="1"/>
  <c r="K11" i="1" s="1"/>
  <c r="L12" i="1"/>
  <c r="K12" i="1" s="1"/>
  <c r="L13" i="1"/>
  <c r="K13" i="1" s="1"/>
  <c r="L14" i="1"/>
  <c r="K14" i="1" s="1"/>
  <c r="L15" i="1"/>
  <c r="K15" i="1" s="1"/>
  <c r="L8" i="1"/>
  <c r="K8" i="1" s="1"/>
  <c r="L4" i="1"/>
  <c r="K4" i="1" s="1"/>
  <c r="L5" i="1"/>
  <c r="K5" i="1" s="1"/>
  <c r="L6" i="1"/>
  <c r="K6" i="1" s="1"/>
  <c r="L7" i="1"/>
  <c r="K7" i="1" s="1"/>
  <c r="L9" i="1"/>
  <c r="K9" i="1" s="1"/>
  <c r="M16" i="1"/>
  <c r="M22" i="1" s="1"/>
  <c r="L2" i="1"/>
  <c r="K2" i="1" s="1"/>
  <c r="O16" i="1"/>
  <c r="O24" i="1" s="1"/>
  <c r="G16" i="1"/>
  <c r="N16" i="1"/>
  <c r="N24" i="1" s="1"/>
  <c r="O26" i="1" l="1"/>
  <c r="M19" i="1"/>
  <c r="L16" i="1"/>
  <c r="L21" i="1" s="1"/>
  <c r="K21" i="1" s="1"/>
  <c r="O23" i="1"/>
  <c r="O19" i="1"/>
  <c r="M30" i="1"/>
  <c r="M24" i="1"/>
  <c r="M35" i="1"/>
  <c r="M33" i="1"/>
  <c r="M28" i="1"/>
  <c r="M27" i="1"/>
  <c r="M31" i="1"/>
  <c r="M18" i="1"/>
  <c r="M29" i="1"/>
  <c r="L25" i="1"/>
  <c r="K25" i="1" s="1"/>
  <c r="L26" i="1"/>
  <c r="K26" i="1" s="1"/>
  <c r="L28" i="1"/>
  <c r="K28" i="1" s="1"/>
  <c r="L27" i="1"/>
  <c r="K27" i="1" s="1"/>
  <c r="L35" i="1"/>
  <c r="K35" i="1" s="1"/>
  <c r="M21" i="1"/>
  <c r="L31" i="1"/>
  <c r="K31" i="1" s="1"/>
  <c r="M25" i="1"/>
  <c r="M23" i="1"/>
  <c r="M26" i="1"/>
  <c r="M20" i="1"/>
  <c r="L22" i="1"/>
  <c r="K22" i="1" s="1"/>
  <c r="M32" i="1"/>
  <c r="M34" i="1"/>
  <c r="O29" i="1"/>
  <c r="O25" i="1"/>
  <c r="O28" i="1"/>
  <c r="O20" i="1"/>
  <c r="O27" i="1"/>
  <c r="O22" i="1"/>
  <c r="O21" i="1"/>
  <c r="O18" i="1"/>
  <c r="N27" i="1"/>
  <c r="N28" i="1"/>
  <c r="N25" i="1"/>
  <c r="N21" i="1"/>
  <c r="N19" i="1"/>
  <c r="N29" i="1"/>
  <c r="N23" i="1"/>
  <c r="N26" i="1"/>
  <c r="N31" i="1"/>
  <c r="N30" i="1"/>
  <c r="N18" i="1"/>
  <c r="N20" i="1"/>
  <c r="N22" i="1"/>
  <c r="N32" i="1"/>
  <c r="L24" i="1" l="1"/>
  <c r="K24" i="1" s="1"/>
  <c r="L23" i="1"/>
  <c r="K23" i="1" s="1"/>
  <c r="K16" i="1"/>
  <c r="L33" i="1"/>
  <c r="K33" i="1" s="1"/>
  <c r="L29" i="1"/>
  <c r="K29" i="1" s="1"/>
  <c r="L18" i="1"/>
  <c r="K18" i="1" s="1"/>
  <c r="L34" i="1"/>
  <c r="K34" i="1" s="1"/>
  <c r="L30" i="1"/>
  <c r="K30" i="1" s="1"/>
  <c r="L32" i="1"/>
  <c r="K32" i="1" s="1"/>
  <c r="L19" i="1"/>
  <c r="K19" i="1" s="1"/>
  <c r="L20" i="1"/>
  <c r="K20" i="1" s="1"/>
</calcChain>
</file>

<file path=xl/sharedStrings.xml><?xml version="1.0" encoding="utf-8"?>
<sst xmlns="http://schemas.openxmlformats.org/spreadsheetml/2006/main" count="129" uniqueCount="87">
  <si>
    <t>Table salon</t>
  </si>
  <si>
    <t>Meuble TV</t>
  </si>
  <si>
    <t>Bureau</t>
  </si>
  <si>
    <t>Lit</t>
  </si>
  <si>
    <t>Meuble Entrée</t>
  </si>
  <si>
    <t>Matelas</t>
  </si>
  <si>
    <t>Haut</t>
  </si>
  <si>
    <t>Larg</t>
  </si>
  <si>
    <t>Long</t>
  </si>
  <si>
    <r>
      <t>en m</t>
    </r>
    <r>
      <rPr>
        <vertAlign val="superscript"/>
        <sz val="11"/>
        <color theme="1"/>
        <rFont val="Aptos Narrow"/>
        <family val="2"/>
        <scheme val="minor"/>
      </rPr>
      <t>3</t>
    </r>
  </si>
  <si>
    <t>Fauteuil bureau</t>
  </si>
  <si>
    <t>Sommier</t>
  </si>
  <si>
    <t>Desserte cuisine</t>
  </si>
  <si>
    <t>Prix neuf</t>
  </si>
  <si>
    <t>BOX (par mois)</t>
  </si>
  <si>
    <t>Ref</t>
  </si>
  <si>
    <t>001</t>
  </si>
  <si>
    <t>002</t>
  </si>
  <si>
    <t>003</t>
  </si>
  <si>
    <t>004</t>
  </si>
  <si>
    <t>005</t>
  </si>
  <si>
    <t>006</t>
  </si>
  <si>
    <t>007</t>
  </si>
  <si>
    <t>008</t>
  </si>
  <si>
    <t>009</t>
  </si>
  <si>
    <t>010</t>
  </si>
  <si>
    <t>011</t>
  </si>
  <si>
    <t>012</t>
  </si>
  <si>
    <t>013</t>
  </si>
  <si>
    <t>014</t>
  </si>
  <si>
    <t>Categorie</t>
  </si>
  <si>
    <t>Salon</t>
  </si>
  <si>
    <t>Séjour</t>
  </si>
  <si>
    <t>Chambre</t>
  </si>
  <si>
    <t>Entrée</t>
  </si>
  <si>
    <t>WC</t>
  </si>
  <si>
    <t>Etat</t>
  </si>
  <si>
    <t>Comme neuf</t>
  </si>
  <si>
    <t>Bon etat</t>
  </si>
  <si>
    <t>Très bon état</t>
  </si>
  <si>
    <t>Prix de vente</t>
  </si>
  <si>
    <t>Statut</t>
  </si>
  <si>
    <t>Nb Photos</t>
  </si>
  <si>
    <t>Disponible</t>
  </si>
  <si>
    <t>Date d'achat</t>
  </si>
  <si>
    <t>Description</t>
  </si>
  <si>
    <r>
      <rPr>
        <b/>
        <sz val="8"/>
        <color rgb="FF0070C0"/>
        <rFont val="Aptos Narrow"/>
        <family val="2"/>
        <scheme val="minor"/>
      </rPr>
      <t>Canapé droit convertible DARWIN 3 places Tissu Gris</t>
    </r>
    <r>
      <rPr>
        <sz val="8"/>
        <color theme="1"/>
        <rFont val="Aptos Narrow"/>
        <family val="2"/>
        <scheme val="minor"/>
      </rPr>
      <t xml:space="preserve">
Design sobre et graphique
Le canapé droit convertible DARWIN 3 places en tissu gris est l'incarnation parfaite du style moderne et épuré. Son revêtement en tissu velours côtelé apporte une touche de sophistication et de confort, tout en s'intégrant harmonieusement dans n'importe quel intérieur. Que ce soit dans un salon spacieux ou un appartement urbain, ce canapé offre une esthétique élégante et tendance. Sa couleur grise neutre permet de l'associer facilement avec d'autres éléments de décoration, créant ainsi un espace de vie accueillant et chaleureux.
Fonctionnalité convertible et confort optimal
Ce canapé 3 places se distingue par sa fonctionnalité convertible, transformant votre salon en un espace de couchage confortable en un clin d'œil. Grâce à son matelas d'une épaisseur de 12 cm en mousse polyuréthane, il offre un couchage régulier de qualité, garantissant un sommeil réparateur. La structure en pin et contreplaqué assure une robustesse et une durabilité exceptionnelles, tandis que la suspension à ressorts zig-zag et sangle offre un soutien optimal. Le revêtement en 100% polyester est non seulement agréable au toucher, mais également facile à entretenir, assurant ainsi une longévité accrue.
Dimensions pratiques et coloris polyvalent
Avec ses dimensions généreuses de largeur 198 cm, hauteur 89 cm et profondeur 99 cm, le canapé DARWIN s'adapte parfaitement aux espaces de vie modernes. Son coloris gris, à la fois sobre et élégant, s'harmonise avec une multitude de styles de décoration. Disponible également en teinte écru, il offre une flexibilité supplémentaire pour personnaliser votre intérieur. Les pieds en polypropylène ajoutent une touche de modernité tout en assurant une stabilité optimale. Ce canapé est le choix idéal pour ceux qui recherchent un mobilier à la fois fonctionnel et esthétiquement plaisant, répondant aux exigences des modes de vie contemporains.</t>
    </r>
  </si>
  <si>
    <r>
      <rPr>
        <b/>
        <sz val="8"/>
        <color rgb="FF0070C0"/>
        <rFont val="Aptos Narrow"/>
        <family val="2"/>
        <scheme val="minor"/>
      </rPr>
      <t>Une table basse multifonctionnelle</t>
    </r>
    <r>
      <rPr>
        <sz val="8"/>
        <color theme="1"/>
        <rFont val="Aptos Narrow"/>
        <family val="2"/>
        <scheme val="minor"/>
      </rPr>
      <t xml:space="preserve">
Pour improviser un repas devant un bon film, cette table basse noire et imitation chêne sonoma est le meuble idéal. Utile pour délimiter l'espace dans un salon, ce meuble se distingue par ses capacités de rangement et ses tablettes amovibles. De forme rectangulaire, cette table basse de L. 100 x H. 60 x P. 45,58 cm se démarque par une structure en panneaux de particules mélaminés, un mécanisme laptop en acier et un piètement en acier recouvert d'époxy. Peu encombrante et de faible profondeur, cette table basse est facile à entretenir avec un chiffon en microfibres.
Une table basse industrielle
Inscrite dans la tendance actuelle, ce modèle de table basse Vincente convient aux amateurs du style vintage et industriel. Sa forme rectangulaire et son piètement noir à sections carrées apporteront une touche urbaine à votre salon. On l'imagine associée à une décoration esprit atelier.</t>
    </r>
  </si>
  <si>
    <r>
      <rPr>
        <b/>
        <sz val="8"/>
        <color rgb="FF0070C0"/>
        <rFont val="Aptos Narrow"/>
        <family val="2"/>
        <scheme val="minor"/>
      </rPr>
      <t>Ensemble table rectangulaire 4 chaises TONY</t>
    </r>
    <r>
      <rPr>
        <sz val="8"/>
        <color theme="1"/>
        <rFont val="Aptos Narrow"/>
        <family val="2"/>
        <scheme val="minor"/>
      </rPr>
      <t xml:space="preserve">
Design moderne et bicolore pour votre salle à manger
L'ensemble table rectangulaire 4 chaises TONY est un choix judicieux pour ceux qui recherchent un mobilier à la fois fonctionnel et esthétique pour leur salle à manger. Avec sa table de séjour de forme rectangulaire, cet ensemble offre une solution pratique pour accueillir jusqu'à quatre personnes. Le design bicolore, associant le noir et le blanc pour la table et le gris foncé pour les chaises, confère une touche moderne et élégante à votre intérieur. La table, d'une longueur de 120 cm, est idéale pour les espaces restreints tout en permettant de partager des moments conviviaux en famille ou entre amis.
Matériaux robustes et finitions de qualité
Fabriqué avec soin, l'ensemble TONY utilise des matériaux de qualité pour garantir sa durabilité. Le plateau de la table est en panneau de particules avec une finition mélaminée, offrant une surface résistante et facile à entretenir. Les chaises, quant à elles, sont dotées d'une assise et d'un dossier en tissu, procurant un confort optimal. Le piètement en métal des chaises assure une stabilité et une robustesse accrues, parfait pour un usage quotidien. Avec une hauteur de table de 75 cm et une épaisseur de plateau de 18 mm, cet ensemble allie solidité et élégance pour sublimer votre espace de vie.
Un ensemble convivial pour des moments partagés
Destiné à un usage intérieur, l'ensemble table et chaises TONY s'adresse aux foyers souhaitant optimiser leur espace tout en bénéficiant d'un mobilier au design contemporain. Que ce soit pour des repas quotidiens ou des occasions spéciales, cet ensemble est conçu pour s'intégrer harmonieusement dans votre salle à manger. Les dimensions ergonomiques des chaises, avec une hauteur d'assise de 46 cm et une profondeur de 54 cm, assurent un confort d'assise appréciable. Ce produit est idéal pour ceux qui recherchent un mobilier pratique et esthétique, tout en profitant d'un excellent rapport qualité-prix. L'ensemble TONY est un choix parfait pour créer une ambiance chaleureuse et accueillante.</t>
    </r>
  </si>
  <si>
    <r>
      <rPr>
        <b/>
        <sz val="8"/>
        <color rgb="FF0070C0"/>
        <rFont val="Aptos Narrow"/>
        <family val="2"/>
        <scheme val="minor"/>
      </rPr>
      <t>Desserte FUMAY 2 : style contemporain et fabrication française</t>
    </r>
    <r>
      <rPr>
        <sz val="8"/>
        <color theme="1"/>
        <rFont val="Aptos Narrow"/>
        <family val="2"/>
        <scheme val="minor"/>
      </rPr>
      <t xml:space="preserve">
Design moderne et matériaux de qualité
La desserte FUMAY 2 se distingue par son style contemporain qui s'intègre harmonieusement dans n'importe quelle cuisine. Elle combine une teinte noire élégante avec un revêtement effet bois clair, créant ainsi un contraste visuel attrayant. Les poignées en aluminium laqué noir ajoutent une touche de sophistication supplémentaire. Fabriquée en France, cette desserte témoigne d'un savoir-faire local et d'une attention particulière portée à la qualité des matériaux. Sa structure en panneau de particules et panneau de fibres de bois assure robustesse et durabilité, tandis que sa finition en papier décor lui confère un aspect soigné.
Rangements pratiques et mobilité facilitée
La desserte FUMAY 2 est conçue pour répondre aux besoins de rangement dans la cuisine. Avec ses deux portes qui s'ouvrent sur un vaste espace de stockage, elle permet d'organiser efficacement vos ustensiles et provisions. Un atout majeur de ce meuble est son range-bouteilles latéral, positionnable à gauche ou à droite selon la configuration de votre espace. Dotée de roulettes multidirectionnelles, elle se déplace aisément, offrant une flexibilité d'utilisation au quotidien. Cette mobilité est idéale pour ajuster la desserte en fonction de vos besoins, que ce soit pour cuisiner ou pour servir vos invités.
Polyvalence et usage quotidien
Destinée à un usage intérieur, la desserte FUMAY 2 s'adresse à ceux qui cherchent à optimiser leur espace de cuisine tout en ajoutant une touche de modernité. Avec ses dimensions compactes (largeur de 75 cm, hauteur de 80,7 cm, profondeur de 40 cm) et un poids total de 20,9 kg, elle s'intègre facilement dans les espaces restreints. Que vous soyez un amateur de cuisine ou que vous ayez simplement besoin de plus de rangement, cette desserte s'adapte à vos besoins. En choisissant ce produit, vous optez pour une solution pratique et esthétique, fabriquée en France, qui valorise votre intérieur.</t>
    </r>
  </si>
  <si>
    <r>
      <rPr>
        <b/>
        <sz val="8"/>
        <color rgb="FF0070C0"/>
        <rFont val="Aptos Narrow"/>
        <family val="2"/>
        <scheme val="minor"/>
      </rPr>
      <t>Bureau Enfant LUGANO 110 cm coloris Chêne artisan</t>
    </r>
    <r>
      <rPr>
        <sz val="8"/>
        <color theme="1"/>
        <rFont val="Aptos Narrow"/>
        <family val="2"/>
        <scheme val="minor"/>
      </rPr>
      <t xml:space="preserve">
Style naturel et intégration harmonieuse
Le Bureau Enfant LUGANO de 110 cm est une pièce incontournable pour créer un espace de travail agréable et fonctionnel dans la chambre de votre enfant. Avec son style naturel et son coloris chêne artisan, ce bureau s'intègre parfaitement dans un environnement chaleureux et moderne. Le bois foncé apporte une touche d'élégance qui se marie facilement avec divers styles de décoration intérieure. Que ce soit pour les devoirs, les activités créatives ou le temps passé sur une tablette, ce bureau offre un cadre propice à la concentration et à la créativité.
Fabrication française et fonctionnalités pratiques
Fabriqué en France, le Bureau Enfant LUGANO garantit une qualité de fabrication exceptionnelle. Conçu avec un panneau de particules recouvert de papier décor, il allie robustesse et esthétique. Ce bureau est équipé d'une porte et d'une niche, offrant des solutions de rangement pratiques pour les fournitures scolaires et les petits objets personnels. La finition en papier décor assure une surface lisse et facile à entretenir, idéale pour un usage quotidien. Grâce à sa conception soignée, ce bureau s'adapte aux besoins des enfants tout en apportant une touche de sophistication à leur espace personnel.
Dimensions compactes et coloris chaleureux
Avec ses dimensions compactes, le Bureau Enfant LUGANO mesure 110 cm de longueur, 77 cm de hauteur et 55,5 cm de profondeur, ce qui en fait un choix parfait pour les chambres d'enfants où l'espace est précieux. Son poids total de 39 kg assure une stabilité optimale, garantissant ainsi une utilisation sécurisée. Le coloris chêne artisan, associé à d'autres teintes comme le chêne helvezia blanchi, offre une palette de couleurs chaleureuses qui s'harmonisent avec divers éléments de décoration. Ce bureau est non seulement un espace de travail fonctionnel, mais aussi un élément de design qui enrichit l'environnement de votre enfant.</t>
    </r>
  </si>
  <si>
    <r>
      <rPr>
        <b/>
        <sz val="8"/>
        <color rgb="FF0070C0"/>
        <rFont val="Aptos Narrow"/>
        <family val="2"/>
        <scheme val="minor"/>
      </rPr>
      <t>Chevet WATSON : Design industriel et fabrication française</t>
    </r>
    <r>
      <rPr>
        <sz val="8"/>
        <color theme="1"/>
        <rFont val="Aptos Narrow"/>
        <family val="2"/>
        <scheme val="minor"/>
      </rPr>
      <t xml:space="preserve">
Style industriel et dimensions compactes
Le chevet 1 tiroir WATSON se distingue par son style industriel, idéal pour créer une ambiance moderne et urbaine dans votre chambre. Avec ses teintes de chêne krongberg et waterford, ce meuble apporte une touche de chaleur et d'authenticité à votre espace. Ses dimensions compactes, avec une largeur de 39,5 cm, une hauteur de 32,1 cm et une profondeur de 34,7 cm, en font un choix parfait pour les petites chambres ou les espaces restreints. Ce chevet est conçu pour s'intégrer harmonieusement dans tout type de décoration, tout en offrant une solution de rangement pratique et esthétique.
Matériaux de qualité et fabrication française
Fabriqué en France, le chevet WATSON est conçu à partir de panneaux de particules, un matériau reconnu pour sa robustesse et sa durabilité. La finition en papier décor accentue son allure moderne tout en garantissant une surface facile à entretenir. La poignée en plastique noir ajoute une touche de contraste et de modernité, tout en étant fonctionnelle. Ce produit local témoigne d'un savoir-faire de qualité, offrant une solution durable et fiable pour votre chambre à coucher. Grâce à sa fabrication française, le chevet WATSON garantit un haut niveau de qualité et de finition.
Pratique et adapté à tous les besoins
Le chevet WATSON est conçu pour répondre aux besoins des adultes recherchant un meuble à la fois pratique et esthétique. Son tiroir unique permet de ranger facilement vos livres, lunettes ou autres objets personnels, tout en gardant votre espace de nuit organisé. Ce meuble est idéal pour ceux qui souhaitent optimiser leur espace sans compromettre le style. En plus de son utilisation fonctionnelle, le chevet peut être agrémenté d'éléments décoratifs comme une lampe ou un vase, pour personnaliser davantage votre espace. Le chevet WATSON est une solution polyvalente qui s'adapte à tous les styles de vie et de décoration.</t>
    </r>
  </si>
  <si>
    <r>
      <rPr>
        <b/>
        <sz val="8"/>
        <color rgb="FF0070C0"/>
        <rFont val="Aptos Narrow"/>
        <family val="2"/>
        <scheme val="minor"/>
      </rPr>
      <t>Cadre à lattes fixe 140x190 cm NIGHTITUDE C34 F07 : confort et soutien optimal</t>
    </r>
    <r>
      <rPr>
        <sz val="8"/>
        <color theme="1"/>
        <rFont val="Aptos Narrow"/>
        <family val="2"/>
        <scheme val="minor"/>
      </rPr>
      <t xml:space="preserve">
Un sommier robuste et confortable pour un sommeil réparateur
Le cadre à lattes fixe 140x190 cm NIGHTITUDE C34 F07 est un choix judicieux pour ceux qui recherchent un sommier alliant robustesse et confort. Conçu pour offrir un soutien optimal, ce sommier est doté de 20 lattes souples en multiplis, garantissant une excellente répartition du poids et un maintien adapté à chaque morphologie. Sa structure en métal assure une solidité à toute épreuve, tandis que ses trois zones de soutien, dont une zone lombaire renforcée, favorisent un alignement parfait de la colonne vertébrale. Ce cadre est idéal pour ceux qui souhaitent améliorer la qualité de leur sommeil tout en préservant leur dos.
Caractéristiques techniques et fabrication française
Fabriqué en France, ce sommier tapissier se distingue par ses caractéristiques techniques avancées. Avec une longueur de 190 cm, une largeur de 140 cm et une épaisseur de 5 cm, il s'intègre parfaitement dans les chambres de taille moyenne. Le choix de matériaux de qualité comme le métal pour la structure et les lattes multiplis pour la suspension assure une durabilité exceptionnelle. De plus, son coloris gris s'harmonise facilement avec tout type de décor. L'origine française de ce produit est un gage de qualité et de savoir-faire, renforçant ainsi sa position sur le marché.
Un sommier adapté à tous les besoins
Ce sommier pour 2 personnes est conçu pour s'adapter à tous les types de matelas, offrant ainsi une grande flexibilité d'utilisation. Il est idéal pour les couples ou les personnes seules qui préfèrent un espace de couchage plus spacieux. Avec un poids total de 16 kg, il est facile à manipuler lors de l'installation. Ce sommier en bois est parfait pour ceux qui recherchent un produit fiable et esthétique, tout en bénéficiant d'un excellent rapport qualité/prix. Sa fabrication en France et ses caractéristiques techniques en font un choix de prédilection pour ceux qui souhaitent investir dans un produit durable et performant.</t>
    </r>
  </si>
  <si>
    <r>
      <rPr>
        <b/>
        <sz val="8"/>
        <color rgb="FF0070C0"/>
        <rFont val="Aptos Narrow"/>
        <family val="2"/>
        <scheme val="minor"/>
      </rPr>
      <t>Un pratique vestiaire multi-usages</t>
    </r>
    <r>
      <rPr>
        <sz val="8"/>
        <color theme="1"/>
        <rFont val="Aptos Narrow"/>
        <family val="2"/>
        <scheme val="minor"/>
      </rPr>
      <t xml:space="preserve">
Idéal dans l'entrée pour suspendre les vestes et les manteaux ou déposer les sacs et les chapeaux, le vestiaire d'entrée ARNOLD se montre ultra-fonctionnel et se prête également au rangement des chaussures. Contemporain et design, il est muni d'une étagère haute, d'un système de patère avec 4 crochets en bois, d'un plateau en panneaux de particules enduit et de 2 étagères inférieures. Ce vestiaire d'entrée de dimensions L. 76 x H. 178 x l. 35 cm s'avère peu encombrant grâce à sa faible profondeur. Simple d'entretien, il se nettoie à l'aide d'un chiffon en microfibres.
Un vestiaire très tendance
Particulièrement tendance, ce vestiaire d'entrée noir séduit par son look en fer noir qui contraste avec un plateau et des crochets en bois. Son style industriel conviendra à des intérieurs urbains ou modernes, mais aussi à des atmosphères vintage. Pour rendre ce vestiaire d'entrée encore plus décoratif, vous pouvez poser une plante retombante sur l'étagère supérieure.</t>
    </r>
  </si>
  <si>
    <r>
      <rPr>
        <b/>
        <sz val="8"/>
        <color rgb="FF0070C0"/>
        <rFont val="Aptos Narrow"/>
        <family val="2"/>
        <scheme val="minor"/>
      </rPr>
      <t>Meuble WC 2 portes DETROIT avec étagères design industriel</t>
    </r>
    <r>
      <rPr>
        <sz val="8"/>
        <color theme="1"/>
        <rFont val="Aptos Narrow"/>
        <family val="2"/>
        <scheme val="minor"/>
      </rPr>
      <t xml:space="preserve">
Donnez un effet industriel et optimisez le rangement de votre pièce d'eau avec notre meuble WC DETROIT 2 portes avec étagères. 
Son style moderne et ses lignes sobres créeront une ambiance chaleureuse et un esprit "factory" très tendance !
Le mélange entre le coloris naturel du bois et le noir de sa structure en métal apportera une touche industrielle pour un esprit loft à votre intérieur.
Spécialement pensé pour aménager les petits espaces comme des toilettes, une salle de bain ou une buanderie, ce meuble DETROIT maximisera le rangement de votre pièce tout en vous permettant de gagner en surface au sol grâce à ses dimensions ultra compactes. 
Ses 3 étagères (composées de 2 tablettes) et ses 2 placards confèrent à ce meuble au design urbain plein d'atouts de rangement ! 
Dans les 2 placards, vous pourrez ranger en toute discrétion vos produits les moins esthétiques comme les rouleaux de papier toilette, les produits d'entretien...
La matière et la couleur des étagères en particules de bois (PB épaisseur 1,2 cm) lui apportent une véritable authenticité. 
La structure du meuble, en métal noir (épaisseur des tubes 1,6 cm x 1,6 cm), lui apporte stabilité et solidité. 
Ce nouveau modèle au design industriel bi-matière bois et métal est LA solution pour tout ranger à portée de main même dans les petits espaces et apporter une vraie touche déco à votre intérieur !
Dimensions du meuble WC 2 portes avec étagères 
Dimensions globales : Longueur 18 cm x largeur 30 cm x Hauteur 119 cm
Placard du haut : L. 12,5 x l. 29 x H. 19 cm
Placard du bas : L. 12,5 x l. 29 x H.36,5 cm
</t>
    </r>
  </si>
  <si>
    <t>Nom</t>
  </si>
  <si>
    <t>Couleur</t>
  </si>
  <si>
    <t>Matière</t>
  </si>
  <si>
    <t>Gris</t>
  </si>
  <si>
    <t>Imitation chêne</t>
  </si>
  <si>
    <t>panneaux de particules mélaminés</t>
  </si>
  <si>
    <t xml:space="preserve"> chêne et noir </t>
  </si>
  <si>
    <t>panneaux de particules</t>
  </si>
  <si>
    <t>bicolore,  noir et blanc pour la table et gris foncé pour les chaises</t>
  </si>
  <si>
    <t xml:space="preserve"> tissu velours côtelé</t>
  </si>
  <si>
    <t>teinte noire élégante avec un revêtement effet bois clair</t>
  </si>
  <si>
    <t>panneau de particules</t>
  </si>
  <si>
    <t>coloris Chêne artisan</t>
  </si>
  <si>
    <t>noir d'encre</t>
  </si>
  <si>
    <t xml:space="preserve">surface PU résistante à l'usure </t>
  </si>
  <si>
    <t>teintes chêne kronberg et waterford</t>
  </si>
  <si>
    <t xml:space="preserve"> tissu stretch 100 % polyester</t>
  </si>
  <si>
    <t>Blanc</t>
  </si>
  <si>
    <t>métal</t>
  </si>
  <si>
    <t>noir avec un plateau et des crochets en bois</t>
  </si>
  <si>
    <t>coloris naturel et noir</t>
  </si>
  <si>
    <t>Bois et Métal</t>
  </si>
  <si>
    <t>Table séjour +4 chaises</t>
  </si>
  <si>
    <t>Lot de 2 Chevets</t>
  </si>
  <si>
    <t>Armoire 3 portes battante</t>
  </si>
  <si>
    <t>Lot de 2 meubles WC</t>
  </si>
  <si>
    <r>
      <rPr>
        <b/>
        <sz val="8"/>
        <color rgb="FF0070C0"/>
        <rFont val="Aptos Narrow"/>
        <family val="2"/>
        <scheme val="minor"/>
      </rPr>
      <t>Armoire WATSON : Élégance et fonctionnalité made in France</t>
    </r>
    <r>
      <rPr>
        <sz val="8"/>
        <color theme="1"/>
        <rFont val="Aptos Narrow"/>
        <family val="2"/>
        <scheme val="minor"/>
      </rPr>
      <t xml:space="preserve">
Design naturel et moderne
L'armoire 3 portes battantes WATSON se distingue par son design moderne et épuré, alliant le coloris Chêne Kronberg et Waterford. Ce meuble au style naturel s'intègre parfaitement dans tout type d'intérieur, qu'il soit contemporain ou plus classique. Grâce à son miroir intégré, elle agrandit visuellement l'espace et apporte une luminosité supplémentaire à votre pièce. Fabriquée en France, cette armoire allie esthétisme et qualité, répondant ainsi aux attentes des consommateurs soucieux de l'origine de fabrication de leurs meubles.
Fonctionnalités et caractéristiques techniques
Dotée de 3 portes battantes, l'armoire WATSON offre un aménagement intérieur astucieux avec deux tiers dédiés à la penderie et un tiers en lingère. Les étagères modulables permettent de ranger efficacement vos vêtements pliés. La structure en panneau de particules assure une robustesse et une durabilité optimales. Les poignées en plastique ajoutent une touche de modernité tout en étant pratiques. Avec une largeur de 133,5 cm, une hauteur de 191,5 cm et une profondeur de 51,4 cm, cette armoire est conçue pour optimiser l'espace de rangement tout en s'adaptant à des pièces de tailles variées. Sa finition en papier décor lui confère une allure soignée et élégante.
Un meuble pour tous les foyers
L'armoire WATSON est idéale pour ceux qui recherchent un meuble à la fois fonctionnel et esthétique. Elle s'adresse aux familles souhaitant organiser efficacement leur espace de rangement, ainsi qu'aux personnes vivant en appartement qui désirent maximiser leur espace. Grâce à sa fabrication française, elle séduit les consommateurs attachés à la qualité et à l'origine de leurs produits. Que ce soit pour une chambre d'adulte ou une chambre d'adolescent, cette armoire s'adapte à tous les besoins et styles de vie. </t>
    </r>
  </si>
  <si>
    <r>
      <rPr>
        <b/>
        <sz val="8"/>
        <color rgb="FF0070C0"/>
        <rFont val="Aptos Narrow"/>
        <family val="2"/>
        <scheme val="minor"/>
      </rPr>
      <t xml:space="preserve">Meuble TV 155 cm TOMY coloris chêne et noir </t>
    </r>
    <r>
      <rPr>
        <sz val="8"/>
        <color theme="1"/>
        <rFont val="Aptos Narrow"/>
        <family val="2"/>
        <scheme val="minor"/>
      </rPr>
      <t xml:space="preserve">
Style industriel et élégance moderne
Le meuble TV 155 cm TOMY coloris chêne et noir de  s'intègre parfaitement dans un intérieur au style industriel. Son design bicolore, associant le chêne jackson et le noir, apporte une touche de modernité et de sophistication à votre salon. Ce meuble est idéal pour créer une ambiance chaleureuse et accueillante, tout en offrant un espace de rangement pratique pour votre équipement multimédia. Avec ses lignes épurées et sa finition en papier décor, il se marie aisément avec divers styles de décoration, du contemporain au vintage.
Fabrication française et fonctionnalité optimale
Fabriqué en France, le meuble TV TOMY garantit une qualité de fabrication irréprochable. Conçu à partir de panneaux de particules, il offre une robustesse et une durabilité appréciables. Ce meuble est doté d'une porte coulissante, permettant un accès facile à vos appareils électroniques tout en les protégeant de la poussière. Une tablette de rangement supplémentaire est intégrée, idéale pour organiser vos accessoires multimédia. Le passe-câbles intégré assure une gestion discrète et ordonnée des fils, contribuant à un espace de vie harmonieux et bien rangé.
Dimensions généreuses et choix de coloris
Avec une longueur de 155 cm, une largeur de 40 cm et une hauteur de 43 cm, le meuble TV TOMY offre un espace suffisant pour accueillir une grande télévision ainsi que d'autres équipements audiovisuels. Son poids total de 24 kg témoigne de sa solidité et de sa stabilité. </t>
    </r>
  </si>
  <si>
    <r>
      <rPr>
        <b/>
        <sz val="8"/>
        <color rgb="FF0070C0"/>
        <rFont val="Aptos Narrow"/>
        <family val="2"/>
        <scheme val="minor"/>
      </rPr>
      <t>Un style industriel moderne</t>
    </r>
    <r>
      <rPr>
        <sz val="8"/>
        <color theme="1"/>
        <rFont val="Aptos Narrow"/>
        <family val="2"/>
        <scheme val="minor"/>
      </rPr>
      <t xml:space="preserve">
Le lit adulte WATSON de CONFORAMA s'illustre par son style industriel, idéal pour ceux qui souhaitent insuffler une ambiance moderne et épurée à leur chambre. Avec sa finition en papier décor et ses teintes chêne kronberg et waterford, ce lit apporte une légère touche industrielle, tout en restant chaleureux. Sa tête de lit se distingue par un travail sur les contrastes, offrant ainsi un design unique qui s'intègre parfaitement dans un intérieur contemporain.
Fabrication française et matériaux de qualité
Fabriqué en France, le lit WATSON garantit une qualité et un savoir-faire exceptionnels. Sa structure est conçue en panneau de particules de 15 et 18 mm, assurant robustesse et durabilité. Bien que vendu sans sommier ni matelas, ce lit offre une base solide pour accueillir le couchage de votre choix. La fabrication française est un gage de qualité, et ce modèle s'inscrit parfaitement dans cette tradition d'excellence.
Dimensions optimales et coloris bois clair
Le lit WATSON propose des dimensions de couchage de 140x190 cm, adaptées aux besoins d'un lit simple. Avec une longueur de 194,7 cm, une largeur de 148,3 cm et une hauteur de 71,7 cm, il s'intègre facilement dans la plupart des espaces. Son coloris bois clair apporte une touche de luminosité et de douceur à votre chambre, créant une atmosphère apaisante. </t>
    </r>
  </si>
  <si>
    <r>
      <rPr>
        <b/>
        <sz val="8"/>
        <color rgb="FF0070C0"/>
        <rFont val="Aptos Narrow"/>
        <family val="2"/>
        <scheme val="minor"/>
      </rPr>
      <t>Matelas 140x190 cm 8 HEURES FUTE : Confort et soutien optimal fabriqué en France</t>
    </r>
    <r>
      <rPr>
        <sz val="8"/>
        <color theme="1"/>
        <rFont val="Aptos Narrow"/>
        <family val="2"/>
        <scheme val="minor"/>
      </rPr>
      <t xml:space="preserve">
Confort sur mesure pour des nuits paisibles
Le matelas 140x190 cm 8 HEURES FUTE est un choix idéal pour ceux qui recherchent un confort équilibré et un soutien medium. Grâce à sa technologie de ressorts ensachés, ce matelas offre une indépendance de couchage remarquable, permettant de ne pas ressentir les mouvements de son partenaire. Fabriqué en France, il répond aux besoins des couples ou des personnes seules souhaitant un matelas deux places qui s'adapte parfaitement à leur morphologie. Son accueil ferme et son épaisseur de 21 cm garantissent un sommeil réparateur, quelle que soit la saison.
Technologie avancée et fabrication française
Ce matelas 8 HEURES FUTE se distingue par sa suspension de 480 ressorts ensachés, qui assure une excellente circulation de l'air et un soutien durable. Le tissu stretch 100 % polyester optimise la ventilation, évacuant l'humidité pour un confort optimal. Avec ses deux faces de couchage, il s'adapte aux variations saisonnières, offrant une face été avec un garnissage fin et respirant, et une face hiver plus enveloppante. Sa fabrication en France est un gage de qualité, garantissant un produit conforme aux normes les plus exigeantes.
Un matelas pour tous les dormeurs
Le matelas 140x190 cm 8 HEURES FUTE est conçu pour s'adresser à un large public. Que vous soyez un couple ou une personne seule, ce matelas deux places s'intègre parfaitement dans votre chambre. Son soutien medium et son accueil ferme conviennent à ceux qui recherchent un équilibre entre fermeté et moelleux. Avec un poids de 32 kg, il est à la fois robuste et facile à manipuler. Ce matelas est idéal pour ceux qui souhaitent investir dans un produit de qualité, fabriqué en France, qui assure des nuits paisibles et confortables.
</t>
    </r>
  </si>
  <si>
    <r>
      <rPr>
        <b/>
        <sz val="8"/>
        <color rgb="FF0070C0"/>
        <rFont val="Aptos Narrow"/>
        <family val="2"/>
        <scheme val="minor"/>
      </rPr>
      <t>Fauteuil de bureau, chaise gaming, réglable, repose-pieds télescopique, mécanisme à bascule, appui-tête, support lombaire, charge 150 kg, noir d'encre</t>
    </r>
    <r>
      <rPr>
        <sz val="8"/>
        <color theme="1"/>
        <rFont val="Aptos Narrow"/>
        <family val="2"/>
        <scheme val="minor"/>
      </rPr>
      <t xml:space="preserve">
[Commencez une journée productive] Avec une hauteur réglable de 47 à 57 cm et un dossier incunable entre 90° et 135°, ce fauteuil de bureau vous permet de trouver la position pour travailler plus efficacement
[Confort sans fin] Cette chaise ergonomique dispose d'un soutien lombaire, d'un repose-pieds, d'un appui-tête et de roulettes silencieuses en nylon, permettant à votre corps de se reposer pour que vous puissiez vous concentrer sur votre travail
[Détails importants] Le siège, le dossier et le support lombaire sont rembourrés en mousse de haute densité qui ne se déforme pas facilement. Que ce soit pour le travail ou du divertissement, ce dossier ergonomique imite les courbes de votre corps pour vous offrir un meilleur soutien
La chaise gaming supporte jusqu'à 150 kg. Une chaise de bureau ergonomique avec une surface PU résistante à l'usure et facile à nettoyer qui s'adapte à votre maison ou votre bureau. Avec elle, gardez votre corps et votre esprit détendus !
Grande capacité de charge : La chaise de bureau peut supporter jusqu'à 150 kg (auto-vérification), vous offrant un support stable et fiable.
Le vérin à gaz est assuré de sa sûreté : Le vérin à gaz a réussi le test sécurité chez SGS 120 000 fois, N° du rapport AJH23293938, présenté par le fournisseur.
Roulettes durables : Les roulettes ont réussi le test de 100 000 cycles du fournisseur de pièces (testé par le fournisseur).
Piètement étoile robuste : La base en forme d'étoile a résisté à un test de pression statique de la base de la chaise pendant une minute, supportant une charge de 1 136 kg sans se briser (testé par le fournisseur).
Caractéristiques :
- Couleurs : Noir d'encre
- Matériaux : Mousse de haute densité, nylon, acier, PU
- Dimensions du fauteuil : 67 x 66 x (116-126) cm (L x l x H)
- Hauteur assise/sol : 47-57 cm
- Dimensions de l’assise : 50 x 52 cm (L x l)
- Hauteur du dossier : 71 cm
- Diamètre d’une roulette : 50 mm
- Poids : 20,6 kg
- Capacité de charge statique max. : 150 kg
</t>
    </r>
  </si>
  <si>
    <t>Canapé 3 places convertible 2 couchages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</si>
</sst>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yyyy\-mm\-dd"/>
  </numFmts>
  <fonts count="6" x14ac:knownFonts="1">
    <font>
      <sz val="11"/>
      <color theme="1"/>
      <name val="Aptos Narrow"/>
      <family val="2"/>
      <scheme val="minor"/>
    </font>
    <font>
      <vertAlign val="superscript"/>
      <sz val="11"/>
      <color theme="1"/>
      <name val="Aptos Narrow"/>
      <family val="2"/>
      <scheme val="minor"/>
    </font>
    <font>
      <u/>
      <sz val="11"/>
      <color theme="10"/>
      <name val="Aptos Narrow"/>
      <family val="2"/>
      <scheme val="minor"/>
    </font>
    <font>
      <sz val="8"/>
      <name val="Aptos Narrow"/>
      <family val="2"/>
      <scheme val="minor"/>
    </font>
    <font>
      <sz val="8"/>
      <color theme="1"/>
      <name val="Aptos Narrow"/>
      <family val="2"/>
      <scheme val="minor"/>
    </font>
    <font>
      <b/>
      <sz val="8"/>
      <color rgb="FF0070C0"/>
      <name val="Aptos Narrow"/>
      <family val="2"/>
      <scheme val="minor"/>
    </font>
  </fonts>
  <fills count="3">
    <fill>
      <patternFill patternType="none"/>
    </fill>
    <fill>
      <patternFill patternType="gray125"/>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0" fillId="2" borderId="0" xfId="0" applyFill="1" applyAlignment="1">
      <alignment vertical="top"/>
    </xf>
    <xf numFmtId="0" fontId="0" fillId="2" borderId="7" xfId="0" applyFill="1" applyBorder="1" applyAlignment="1">
      <alignment vertical="top"/>
    </xf>
    <xf numFmtId="0" fontId="0" fillId="2" borderId="0" xfId="0" applyFill="1" applyAlignment="1">
      <alignment horizontal="center" vertical="top"/>
    </xf>
    <xf numFmtId="164" fontId="0" fillId="0" borderId="2" xfId="0" applyNumberFormat="1" applyBorder="1" applyAlignment="1">
      <alignment vertical="top"/>
    </xf>
    <xf numFmtId="9" fontId="0" fillId="0" borderId="6" xfId="0" quotePrefix="1" applyNumberFormat="1" applyBorder="1" applyAlignment="1">
      <alignment vertical="top"/>
    </xf>
    <xf numFmtId="0" fontId="4" fillId="2" borderId="0" xfId="0" applyFont="1" applyFill="1" applyAlignment="1">
      <alignment vertical="top"/>
    </xf>
    <xf numFmtId="49" fontId="0" fillId="0" borderId="0" xfId="0" quotePrefix="1" applyNumberFormat="1" applyAlignment="1">
      <alignment vertical="top"/>
    </xf>
    <xf numFmtId="0" fontId="2" fillId="0" borderId="7" xfId="1" applyBorder="1" applyAlignment="1">
      <alignment vertical="top"/>
    </xf>
    <xf numFmtId="0" fontId="0" fillId="0" borderId="0" xfId="0" applyAlignment="1">
      <alignment horizontal="center" vertical="top"/>
    </xf>
    <xf numFmtId="2" fontId="0" fillId="0" borderId="0" xfId="0" applyNumberFormat="1" applyAlignment="1">
      <alignment horizontal="center" vertical="top"/>
    </xf>
    <xf numFmtId="164" fontId="0" fillId="0" borderId="3" xfId="0" applyNumberFormat="1" applyBorder="1" applyAlignment="1">
      <alignment vertical="top"/>
    </xf>
    <xf numFmtId="164" fontId="0" fillId="0" borderId="7" xfId="0" applyNumberFormat="1" applyBorder="1" applyAlignment="1">
      <alignment vertical="top"/>
    </xf>
    <xf numFmtId="164" fontId="0" fillId="0" borderId="0" xfId="0" applyNumberFormat="1" applyAlignment="1">
      <alignment vertical="top"/>
    </xf>
    <xf numFmtId="0" fontId="0" fillId="0" borderId="0" xfId="0" applyAlignment="1">
      <alignment vertical="top"/>
    </xf>
    <xf numFmtId="0" fontId="4" fillId="0" borderId="0" xfId="0" applyFont="1" applyAlignment="1">
      <alignment vertical="top" wrapText="1"/>
    </xf>
    <xf numFmtId="0" fontId="4" fillId="0" borderId="0" xfId="0" applyFont="1" applyAlignment="1">
      <alignment vertical="top"/>
    </xf>
    <xf numFmtId="0" fontId="0" fillId="0" borderId="1" xfId="0" applyBorder="1" applyAlignment="1">
      <alignment vertical="top"/>
    </xf>
    <xf numFmtId="0" fontId="0" fillId="0" borderId="5" xfId="0" applyBorder="1" applyAlignment="1">
      <alignment horizontal="center" vertical="top"/>
    </xf>
    <xf numFmtId="2" fontId="0" fillId="0" borderId="5" xfId="0" applyNumberFormat="1" applyBorder="1" applyAlignment="1">
      <alignment horizontal="center" vertical="top"/>
    </xf>
    <xf numFmtId="164" fontId="0" fillId="0" borderId="4" xfId="0" applyNumberFormat="1" applyBorder="1" applyAlignment="1">
      <alignment vertical="top"/>
    </xf>
    <xf numFmtId="164" fontId="0" fillId="0" borderId="1" xfId="0" applyNumberFormat="1" applyBorder="1" applyAlignment="1">
      <alignment vertical="top"/>
    </xf>
    <xf numFmtId="9" fontId="0" fillId="0" borderId="0" xfId="0" quotePrefix="1" applyNumberFormat="1" applyAlignment="1">
      <alignment vertical="top"/>
    </xf>
    <xf numFmtId="165" fontId="0" fillId="2" borderId="0" xfId="0" applyNumberFormat="1" applyFill="1" applyAlignment="1">
      <alignment horizontal="center" vertical="top"/>
    </xf>
    <xf numFmtId="165" fontId="0" fillId="0" borderId="0" xfId="0" applyNumberFormat="1" applyAlignment="1">
      <alignment horizontal="center" vertical="top"/>
    </xf>
    <xf numFmtId="165" fontId="0" fillId="0" borderId="5" xfId="0" applyNumberFormat="1" applyBorder="1" applyAlignment="1">
      <alignment horizontal="center" vertical="top"/>
    </xf>
    <xf numFmtId="0" fontId="0" fillId="2" borderId="0" xfId="0" applyFill="1" applyAlignment="1">
      <alignment vertical="top" wrapText="1"/>
    </xf>
    <xf numFmtId="0" fontId="0" fillId="0" borderId="0" xfId="0" applyAlignment="1">
      <alignment vertical="top"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conforama.fr/chambre-literie/chambre-adulte/chevet/chevet-watson/p/763895" TargetMode="External"/><Relationship Id="rId13" Type="http://schemas.openxmlformats.org/officeDocument/2006/relationships/hyperlink" Target="https://www.amazon.fr/IDMarket-Meuble-DETROIT-%C3%A9tag%C3%A8res-industriel/dp/B09PLPZVPC/ref=sr_1_4?__mk_fr_FR=%C3%85M%C3%85%C5%BD%C3%95%C3%91&amp;crid=1Q5CA8U8TIZW7&amp;dib=eyJ2IjoiMSJ9.v41c9szLY5zLnASECwHgOtNn2Xa_EqHhd-No3lhs9lFAagPzYbokLfoJchi9Je0cls-ah_bh1bMhNEObwXFJu6TJvRHsni6rEp-4sJ98HsNHUNjm9KzhjhtYo5mCgwJ9csy6688JFMavFIRrSJZH_jq7x5u_S_woKCoEDgWAfy08HRtIGw5WqG0L05iD4e1rXk9vMF9M5DMdnDDiH66_EPlwEbXIrLGjz-S51WFugN_xE_cvFhRVt6VOPaTP8Q6y2AP-LnzZiH-Ut28hbiQHJS8KpXfxdouQYLkEs0evyWY.Y0uWrQ7jhUClChgsLjhI7zuujlBf_9zz_i0gzHmim9E&amp;dib_tag=se&amp;keywords=IDMARKET+Meuble+WC+%C3%A9tag%C3%A8re+WILLY&amp;qid=1784287929&amp;sprefix=idmarket+meuble+wc+%C3%A9tag%C3%A8re+willy+%2Caps%2C131&amp;sr=8-4" TargetMode="External"/><Relationship Id="rId3" Type="http://schemas.openxmlformats.org/officeDocument/2006/relationships/hyperlink" Target="https://www.conforama.fr/canape-salon-sejour/canape/canape-convertible/canape-droit-convertible-gris-3-pl-darwin/p/107260" TargetMode="External"/><Relationship Id="rId7" Type="http://schemas.openxmlformats.org/officeDocument/2006/relationships/hyperlink" Target="https://www.conforama.fr/chambre-literie/literie/matelas-2-places/matelas-ressorts-140x190-cm-8-heures-fute/p/100620" TargetMode="External"/><Relationship Id="rId12" Type="http://schemas.openxmlformats.org/officeDocument/2006/relationships/hyperlink" Target="https://www.but.fr/produits/2099901444592/Vestiaire-d-entree-ARNOLD-Noir.html" TargetMode="External"/><Relationship Id="rId2" Type="http://schemas.openxmlformats.org/officeDocument/2006/relationships/hyperlink" Target="https://www.conforama.fr/canape-salon-sejour/salon/meuble-tv/meuble-tv-banc-tv-155-cm-tomy-2/p/103595" TargetMode="External"/><Relationship Id="rId1" Type="http://schemas.openxmlformats.org/officeDocument/2006/relationships/hyperlink" Target="https://www.conforama.fr/cuisine-salle-de-bain/meuble-de-cuisine/ensemble-table-et-chaise/ensemble-table-de-sejour-tony/p/794850" TargetMode="External"/><Relationship Id="rId6" Type="http://schemas.openxmlformats.org/officeDocument/2006/relationships/hyperlink" Target="https://www.conforama.fr/chambre-literie/literie/sommier-et-cadre-a-lattes/cadre-a-lattes-fixe-140x190-cm-nightitude-c34-f07/p/604976" TargetMode="External"/><Relationship Id="rId11" Type="http://schemas.openxmlformats.org/officeDocument/2006/relationships/hyperlink" Target="https://www.conforama.fr/chambre-literie/chambre-adulte/lit-adulte/lit-adulte-140x190-cm-watson/p/763891" TargetMode="External"/><Relationship Id="rId5" Type="http://schemas.openxmlformats.org/officeDocument/2006/relationships/hyperlink" Target="https://www.conforama.fr/enfant-bebe/decoration-chambre-enfant/bureau-enfant/bureau-110-cm-lugano/p/783297" TargetMode="External"/><Relationship Id="rId15" Type="http://schemas.openxmlformats.org/officeDocument/2006/relationships/printerSettings" Target="../printerSettings/printerSettings1.bin"/><Relationship Id="rId10" Type="http://schemas.openxmlformats.org/officeDocument/2006/relationships/hyperlink" Target="https://www.conforama.fr/cuisine-salle-de-bain/meuble-de-cuisine/meuble-micro-ondes-et-desserte/desserte-fumay-2/p/750063" TargetMode="External"/><Relationship Id="rId4" Type="http://schemas.openxmlformats.org/officeDocument/2006/relationships/hyperlink" Target="https://www.conforama.fr/chambre-literie/chambre-adulte/armoire/armoire-watson/p/763917" TargetMode="External"/><Relationship Id="rId9" Type="http://schemas.openxmlformats.org/officeDocument/2006/relationships/hyperlink" Target="https://www.conforama.fr/bureau-rangement/bureau/fauteuil-de-bureau/fauteuil-de-bureau-chaise-gaming-reglable-repose-pieds-telescopique-mecanisme-a-bascule-appui-tete-support-lombaire-charge-150-kg-noir-d-encre/p/Q60937965" TargetMode="External"/><Relationship Id="rId14" Type="http://schemas.openxmlformats.org/officeDocument/2006/relationships/hyperlink" Target="https://www.but.fr/produits/4894223218450/Table-basse-plateau-relevable-VINCENTE-Imitation-chene-noir.html?searchTerm=(autocompl%C3%A9tion)&amp;searchCategory=Recherche%20assist%C3%A9e%20Produ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997ED-D37D-4F1D-9D2C-DF49B982F68B}">
  <sheetPr>
    <pageSetUpPr fitToPage="1"/>
  </sheetPr>
  <dimension ref="A1:T38"/>
  <sheetViews>
    <sheetView tabSelected="1" zoomScale="70" zoomScaleNormal="70" workbookViewId="0">
      <pane ySplit="1" topLeftCell="A2" activePane="bottomLeft" state="frozen"/>
      <selection pane="bottomLeft" activeCell="G2" sqref="G2"/>
    </sheetView>
  </sheetViews>
  <sheetFormatPr baseColWidth="10" defaultColWidth="10.73046875" defaultRowHeight="14.25" x14ac:dyDescent="0.45"/>
  <cols>
    <col min="1" max="2" width="10.73046875" style="14"/>
    <col min="3" max="3" width="22.265625" style="14" bestFit="1" customWidth="1"/>
    <col min="4" max="4" width="4.73046875" style="9" bestFit="1" customWidth="1"/>
    <col min="5" max="5" width="4.1328125" style="9" bestFit="1" customWidth="1"/>
    <col min="6" max="6" width="4.73046875" style="9" bestFit="1" customWidth="1"/>
    <col min="7" max="7" width="5.3984375" style="9" bestFit="1" customWidth="1"/>
    <col min="8" max="8" width="11.1328125" style="9" bestFit="1" customWidth="1"/>
    <col min="9" max="9" width="10.796875" style="24" bestFit="1" customWidth="1"/>
    <col min="10" max="10" width="10.59765625" style="13"/>
    <col min="11" max="17" width="10.73046875" style="14"/>
    <col min="18" max="18" width="65.73046875" style="16" customWidth="1"/>
    <col min="19" max="19" width="13.33203125" style="27" bestFit="1" customWidth="1"/>
    <col min="20" max="20" width="13.9296875" style="27" customWidth="1"/>
    <col min="21" max="16384" width="10.73046875" style="14"/>
  </cols>
  <sheetData>
    <row r="1" spans="1:20" s="1" customFormat="1" ht="15.75" x14ac:dyDescent="0.45">
      <c r="A1" s="1" t="s">
        <v>15</v>
      </c>
      <c r="B1" s="1" t="s">
        <v>30</v>
      </c>
      <c r="C1" s="2" t="s">
        <v>55</v>
      </c>
      <c r="D1" s="3" t="s">
        <v>8</v>
      </c>
      <c r="E1" s="3" t="s">
        <v>7</v>
      </c>
      <c r="F1" s="3" t="s">
        <v>6</v>
      </c>
      <c r="G1" s="3" t="s">
        <v>9</v>
      </c>
      <c r="H1" s="3" t="s">
        <v>36</v>
      </c>
      <c r="I1" s="23" t="s">
        <v>44</v>
      </c>
      <c r="J1" s="4" t="s">
        <v>13</v>
      </c>
      <c r="K1" s="1" t="s">
        <v>40</v>
      </c>
      <c r="L1" s="5">
        <f>-30%</f>
        <v>-0.3</v>
      </c>
      <c r="M1" s="5">
        <v>-0.4</v>
      </c>
      <c r="N1" s="5">
        <v>-0.5</v>
      </c>
      <c r="O1" s="5">
        <v>-0.6</v>
      </c>
      <c r="P1" s="1" t="s">
        <v>41</v>
      </c>
      <c r="Q1" s="1" t="s">
        <v>42</v>
      </c>
      <c r="R1" s="6" t="s">
        <v>45</v>
      </c>
      <c r="S1" s="26" t="s">
        <v>56</v>
      </c>
      <c r="T1" s="26" t="s">
        <v>57</v>
      </c>
    </row>
    <row r="2" spans="1:20" ht="241.5" x14ac:dyDescent="0.45">
      <c r="A2" s="7" t="s">
        <v>16</v>
      </c>
      <c r="B2" s="7" t="s">
        <v>31</v>
      </c>
      <c r="C2" s="8" t="s">
        <v>86</v>
      </c>
      <c r="D2" s="9">
        <v>99</v>
      </c>
      <c r="E2" s="9">
        <v>198</v>
      </c>
      <c r="F2" s="9">
        <v>89</v>
      </c>
      <c r="G2" s="10">
        <f t="shared" ref="G2:G14" si="0">(F2*E2*D2)/1000000</f>
        <v>1.744578</v>
      </c>
      <c r="H2" s="10" t="s">
        <v>37</v>
      </c>
      <c r="I2" s="24">
        <v>46054.000983796293</v>
      </c>
      <c r="J2" s="11">
        <v>900</v>
      </c>
      <c r="K2" s="13">
        <f t="shared" ref="K2:K35" si="1">L2</f>
        <v>630</v>
      </c>
      <c r="L2" s="12">
        <f t="shared" ref="L2:O15" si="2">$J2*(100%+L$1)</f>
        <v>630</v>
      </c>
      <c r="M2" s="12">
        <f t="shared" si="2"/>
        <v>540</v>
      </c>
      <c r="N2" s="12">
        <f t="shared" si="2"/>
        <v>450</v>
      </c>
      <c r="O2" s="12">
        <f t="shared" si="2"/>
        <v>360</v>
      </c>
      <c r="P2" s="14" t="s">
        <v>43</v>
      </c>
      <c r="Q2" s="14">
        <v>14</v>
      </c>
      <c r="R2" s="15" t="s">
        <v>46</v>
      </c>
      <c r="S2" s="27" t="s">
        <v>58</v>
      </c>
      <c r="T2" s="27" t="s">
        <v>64</v>
      </c>
    </row>
    <row r="3" spans="1:20" ht="115.5" x14ac:dyDescent="0.45">
      <c r="A3" s="7" t="s">
        <v>17</v>
      </c>
      <c r="B3" s="7" t="s">
        <v>31</v>
      </c>
      <c r="C3" s="8" t="s">
        <v>0</v>
      </c>
      <c r="D3" s="9">
        <v>100</v>
      </c>
      <c r="E3" s="9">
        <v>60</v>
      </c>
      <c r="F3" s="9">
        <v>45</v>
      </c>
      <c r="G3" s="10">
        <f t="shared" si="0"/>
        <v>0.27</v>
      </c>
      <c r="H3" s="10" t="s">
        <v>37</v>
      </c>
      <c r="I3" s="24">
        <v>46054.000983796293</v>
      </c>
      <c r="J3" s="11">
        <v>150</v>
      </c>
      <c r="K3" s="13">
        <f t="shared" si="1"/>
        <v>105</v>
      </c>
      <c r="L3" s="12">
        <f t="shared" si="2"/>
        <v>105</v>
      </c>
      <c r="M3" s="12">
        <f t="shared" si="2"/>
        <v>90</v>
      </c>
      <c r="N3" s="12">
        <f t="shared" si="2"/>
        <v>75</v>
      </c>
      <c r="O3" s="12">
        <f t="shared" si="2"/>
        <v>60</v>
      </c>
      <c r="P3" s="14" t="s">
        <v>43</v>
      </c>
      <c r="Q3" s="14">
        <v>5</v>
      </c>
      <c r="R3" s="15" t="s">
        <v>47</v>
      </c>
      <c r="S3" s="27" t="s">
        <v>59</v>
      </c>
      <c r="T3" s="27" t="s">
        <v>60</v>
      </c>
    </row>
    <row r="4" spans="1:20" ht="199.5" x14ac:dyDescent="0.45">
      <c r="A4" s="7" t="s">
        <v>18</v>
      </c>
      <c r="B4" s="7" t="s">
        <v>31</v>
      </c>
      <c r="C4" s="8" t="s">
        <v>1</v>
      </c>
      <c r="D4" s="9">
        <v>155</v>
      </c>
      <c r="E4" s="9">
        <v>40</v>
      </c>
      <c r="F4" s="9">
        <v>43</v>
      </c>
      <c r="G4" s="10">
        <f>(F4*E4*D4)/1000000</f>
        <v>0.2666</v>
      </c>
      <c r="H4" s="10" t="s">
        <v>37</v>
      </c>
      <c r="I4" s="24">
        <v>46054.000983796293</v>
      </c>
      <c r="J4" s="11">
        <v>100</v>
      </c>
      <c r="K4" s="13">
        <f t="shared" si="1"/>
        <v>70</v>
      </c>
      <c r="L4" s="12">
        <f t="shared" si="2"/>
        <v>70</v>
      </c>
      <c r="M4" s="12">
        <f t="shared" si="2"/>
        <v>60</v>
      </c>
      <c r="N4" s="12">
        <f t="shared" si="2"/>
        <v>50</v>
      </c>
      <c r="O4" s="12">
        <f t="shared" si="2"/>
        <v>40</v>
      </c>
      <c r="P4" s="14" t="s">
        <v>43</v>
      </c>
      <c r="Q4" s="14">
        <v>6</v>
      </c>
      <c r="R4" s="15" t="s">
        <v>82</v>
      </c>
      <c r="S4" s="27" t="s">
        <v>61</v>
      </c>
      <c r="T4" s="27" t="s">
        <v>62</v>
      </c>
    </row>
    <row r="5" spans="1:20" ht="262.5" x14ac:dyDescent="0.45">
      <c r="A5" s="7" t="s">
        <v>19</v>
      </c>
      <c r="B5" s="7" t="s">
        <v>32</v>
      </c>
      <c r="C5" s="8" t="s">
        <v>77</v>
      </c>
      <c r="D5" s="9">
        <v>120</v>
      </c>
      <c r="E5" s="9">
        <v>80</v>
      </c>
      <c r="F5" s="9">
        <v>75</v>
      </c>
      <c r="G5" s="10">
        <f t="shared" si="0"/>
        <v>0.72</v>
      </c>
      <c r="H5" s="10" t="s">
        <v>37</v>
      </c>
      <c r="I5" s="24">
        <v>46054.000983796293</v>
      </c>
      <c r="J5" s="11">
        <v>400</v>
      </c>
      <c r="K5" s="13">
        <f t="shared" si="1"/>
        <v>280</v>
      </c>
      <c r="L5" s="12">
        <f t="shared" si="2"/>
        <v>280</v>
      </c>
      <c r="M5" s="12">
        <f t="shared" si="2"/>
        <v>240</v>
      </c>
      <c r="N5" s="12">
        <f t="shared" si="2"/>
        <v>200</v>
      </c>
      <c r="O5" s="12">
        <f t="shared" si="2"/>
        <v>160</v>
      </c>
      <c r="P5" s="14" t="s">
        <v>43</v>
      </c>
      <c r="Q5" s="14">
        <v>7</v>
      </c>
      <c r="R5" s="15" t="s">
        <v>48</v>
      </c>
      <c r="S5" s="27" t="s">
        <v>63</v>
      </c>
      <c r="T5" s="27" t="s">
        <v>60</v>
      </c>
    </row>
    <row r="6" spans="1:20" ht="252" x14ac:dyDescent="0.45">
      <c r="A6" s="7" t="s">
        <v>20</v>
      </c>
      <c r="B6" s="7" t="s">
        <v>32</v>
      </c>
      <c r="C6" s="8" t="s">
        <v>12</v>
      </c>
      <c r="D6" s="9">
        <v>40</v>
      </c>
      <c r="E6" s="9">
        <v>75</v>
      </c>
      <c r="F6" s="9">
        <v>81</v>
      </c>
      <c r="G6" s="10">
        <f t="shared" si="0"/>
        <v>0.24299999999999999</v>
      </c>
      <c r="H6" s="10" t="s">
        <v>38</v>
      </c>
      <c r="I6" s="24">
        <v>45901.000983796293</v>
      </c>
      <c r="J6" s="11">
        <v>90</v>
      </c>
      <c r="K6" s="13">
        <f t="shared" si="1"/>
        <v>62.999999999999993</v>
      </c>
      <c r="L6" s="12">
        <f t="shared" si="2"/>
        <v>62.999999999999993</v>
      </c>
      <c r="M6" s="12">
        <f t="shared" si="2"/>
        <v>54</v>
      </c>
      <c r="N6" s="12">
        <f t="shared" si="2"/>
        <v>45</v>
      </c>
      <c r="O6" s="12">
        <f t="shared" si="2"/>
        <v>36</v>
      </c>
      <c r="P6" s="14" t="s">
        <v>43</v>
      </c>
      <c r="Q6" s="14">
        <v>9</v>
      </c>
      <c r="R6" s="15" t="s">
        <v>49</v>
      </c>
      <c r="S6" s="27" t="s">
        <v>65</v>
      </c>
      <c r="T6" s="27" t="s">
        <v>66</v>
      </c>
    </row>
    <row r="7" spans="1:20" ht="241.5" x14ac:dyDescent="0.45">
      <c r="A7" s="7" t="s">
        <v>21</v>
      </c>
      <c r="B7" s="7" t="s">
        <v>2</v>
      </c>
      <c r="C7" s="8" t="s">
        <v>2</v>
      </c>
      <c r="D7" s="9">
        <v>110</v>
      </c>
      <c r="E7" s="9">
        <v>55</v>
      </c>
      <c r="F7" s="9">
        <v>77</v>
      </c>
      <c r="G7" s="10">
        <f t="shared" si="0"/>
        <v>0.46584999999999999</v>
      </c>
      <c r="H7" s="10" t="s">
        <v>37</v>
      </c>
      <c r="I7" s="24">
        <v>46054.000983796293</v>
      </c>
      <c r="J7" s="11">
        <v>200</v>
      </c>
      <c r="K7" s="13">
        <f t="shared" si="1"/>
        <v>140</v>
      </c>
      <c r="L7" s="12">
        <f t="shared" si="2"/>
        <v>140</v>
      </c>
      <c r="M7" s="12">
        <f t="shared" si="2"/>
        <v>120</v>
      </c>
      <c r="N7" s="12">
        <f t="shared" si="2"/>
        <v>100</v>
      </c>
      <c r="O7" s="12">
        <f t="shared" si="2"/>
        <v>80</v>
      </c>
      <c r="P7" s="14" t="s">
        <v>43</v>
      </c>
      <c r="Q7" s="14">
        <v>6</v>
      </c>
      <c r="R7" s="15" t="s">
        <v>50</v>
      </c>
      <c r="S7" s="27" t="s">
        <v>67</v>
      </c>
      <c r="T7" s="27" t="s">
        <v>66</v>
      </c>
    </row>
    <row r="8" spans="1:20" ht="388.5" x14ac:dyDescent="0.45">
      <c r="A8" s="7" t="s">
        <v>22</v>
      </c>
      <c r="B8" s="7" t="s">
        <v>2</v>
      </c>
      <c r="C8" s="8" t="s">
        <v>10</v>
      </c>
      <c r="D8" s="9">
        <v>67</v>
      </c>
      <c r="E8" s="9">
        <v>66</v>
      </c>
      <c r="F8" s="9">
        <v>57</v>
      </c>
      <c r="G8" s="10">
        <f t="shared" si="0"/>
        <v>0.252054</v>
      </c>
      <c r="H8" s="10" t="s">
        <v>38</v>
      </c>
      <c r="I8" s="24">
        <v>46054.000983796293</v>
      </c>
      <c r="J8" s="11">
        <v>130</v>
      </c>
      <c r="K8" s="13">
        <f t="shared" si="1"/>
        <v>91</v>
      </c>
      <c r="L8" s="12">
        <f t="shared" si="2"/>
        <v>91</v>
      </c>
      <c r="M8" s="12">
        <f t="shared" si="2"/>
        <v>78</v>
      </c>
      <c r="N8" s="12">
        <f t="shared" si="2"/>
        <v>65</v>
      </c>
      <c r="O8" s="12">
        <f t="shared" si="2"/>
        <v>52</v>
      </c>
      <c r="P8" s="14" t="s">
        <v>43</v>
      </c>
      <c r="Q8" s="14">
        <v>5</v>
      </c>
      <c r="R8" s="15" t="s">
        <v>85</v>
      </c>
      <c r="S8" s="27" t="s">
        <v>68</v>
      </c>
      <c r="T8" s="27" t="s">
        <v>69</v>
      </c>
    </row>
    <row r="9" spans="1:20" ht="178.5" x14ac:dyDescent="0.45">
      <c r="A9" s="7" t="s">
        <v>23</v>
      </c>
      <c r="B9" s="7" t="s">
        <v>33</v>
      </c>
      <c r="C9" s="8" t="s">
        <v>3</v>
      </c>
      <c r="D9" s="9">
        <v>195</v>
      </c>
      <c r="E9" s="9">
        <v>149</v>
      </c>
      <c r="F9" s="9">
        <v>72</v>
      </c>
      <c r="G9" s="10">
        <f t="shared" si="0"/>
        <v>2.0919599999999998</v>
      </c>
      <c r="H9" s="10" t="s">
        <v>39</v>
      </c>
      <c r="I9" s="24">
        <v>46054.000983796293</v>
      </c>
      <c r="J9" s="11">
        <v>100</v>
      </c>
      <c r="K9" s="13">
        <f t="shared" si="1"/>
        <v>70</v>
      </c>
      <c r="L9" s="12">
        <f t="shared" si="2"/>
        <v>70</v>
      </c>
      <c r="M9" s="12">
        <f t="shared" si="2"/>
        <v>60</v>
      </c>
      <c r="N9" s="12">
        <f t="shared" si="2"/>
        <v>50</v>
      </c>
      <c r="O9" s="12">
        <f t="shared" si="2"/>
        <v>40</v>
      </c>
      <c r="P9" s="14" t="s">
        <v>43</v>
      </c>
      <c r="Q9" s="14">
        <v>9</v>
      </c>
      <c r="R9" s="15" t="s">
        <v>83</v>
      </c>
      <c r="S9" s="27" t="s">
        <v>70</v>
      </c>
      <c r="T9" s="27" t="s">
        <v>66</v>
      </c>
    </row>
    <row r="10" spans="1:20" ht="252" x14ac:dyDescent="0.45">
      <c r="A10" s="7" t="s">
        <v>24</v>
      </c>
      <c r="B10" s="7" t="s">
        <v>33</v>
      </c>
      <c r="C10" s="8" t="s">
        <v>78</v>
      </c>
      <c r="D10" s="9">
        <v>35</v>
      </c>
      <c r="E10" s="9">
        <v>40</v>
      </c>
      <c r="F10" s="9">
        <v>32</v>
      </c>
      <c r="G10" s="10">
        <f t="shared" si="0"/>
        <v>4.48E-2</v>
      </c>
      <c r="H10" s="10" t="s">
        <v>37</v>
      </c>
      <c r="I10" s="24">
        <v>46054.000983796293</v>
      </c>
      <c r="J10" s="11">
        <v>70</v>
      </c>
      <c r="K10" s="13">
        <f t="shared" si="1"/>
        <v>49</v>
      </c>
      <c r="L10" s="12">
        <f t="shared" si="2"/>
        <v>49</v>
      </c>
      <c r="M10" s="12">
        <f t="shared" si="2"/>
        <v>42</v>
      </c>
      <c r="N10" s="12">
        <f t="shared" si="2"/>
        <v>35</v>
      </c>
      <c r="O10" s="12">
        <f t="shared" si="2"/>
        <v>28</v>
      </c>
      <c r="P10" s="14" t="s">
        <v>43</v>
      </c>
      <c r="Q10" s="14">
        <v>7</v>
      </c>
      <c r="R10" s="15" t="s">
        <v>51</v>
      </c>
      <c r="S10" s="27" t="s">
        <v>70</v>
      </c>
      <c r="T10" s="27" t="s">
        <v>66</v>
      </c>
    </row>
    <row r="11" spans="1:20" ht="252" x14ac:dyDescent="0.45">
      <c r="A11" s="7" t="s">
        <v>25</v>
      </c>
      <c r="B11" s="7" t="s">
        <v>33</v>
      </c>
      <c r="C11" s="8" t="s">
        <v>5</v>
      </c>
      <c r="D11" s="9">
        <v>190</v>
      </c>
      <c r="E11" s="9">
        <v>140</v>
      </c>
      <c r="F11" s="9">
        <v>21</v>
      </c>
      <c r="G11" s="10">
        <f t="shared" si="0"/>
        <v>0.55859999999999999</v>
      </c>
      <c r="H11" s="10" t="s">
        <v>39</v>
      </c>
      <c r="I11" s="24">
        <v>46054.000983796293</v>
      </c>
      <c r="J11" s="11">
        <v>300</v>
      </c>
      <c r="K11" s="13">
        <f t="shared" si="1"/>
        <v>210</v>
      </c>
      <c r="L11" s="12">
        <f t="shared" si="2"/>
        <v>210</v>
      </c>
      <c r="M11" s="12">
        <f t="shared" si="2"/>
        <v>180</v>
      </c>
      <c r="N11" s="12">
        <f t="shared" si="2"/>
        <v>150</v>
      </c>
      <c r="O11" s="12">
        <f t="shared" si="2"/>
        <v>120</v>
      </c>
      <c r="P11" s="14" t="s">
        <v>43</v>
      </c>
      <c r="Q11" s="14">
        <v>7</v>
      </c>
      <c r="R11" s="15" t="s">
        <v>84</v>
      </c>
      <c r="S11" s="27" t="s">
        <v>72</v>
      </c>
      <c r="T11" s="27" t="s">
        <v>71</v>
      </c>
    </row>
    <row r="12" spans="1:20" ht="252" x14ac:dyDescent="0.45">
      <c r="A12" s="7" t="s">
        <v>26</v>
      </c>
      <c r="B12" s="7" t="s">
        <v>33</v>
      </c>
      <c r="C12" s="8" t="s">
        <v>11</v>
      </c>
      <c r="D12" s="9">
        <v>190</v>
      </c>
      <c r="E12" s="9">
        <v>140</v>
      </c>
      <c r="F12" s="9">
        <v>5</v>
      </c>
      <c r="G12" s="10">
        <f t="shared" si="0"/>
        <v>0.13300000000000001</v>
      </c>
      <c r="H12" s="10" t="s">
        <v>37</v>
      </c>
      <c r="I12" s="24">
        <v>46054.000983796293</v>
      </c>
      <c r="J12" s="11">
        <v>140</v>
      </c>
      <c r="K12" s="13">
        <f t="shared" si="1"/>
        <v>98</v>
      </c>
      <c r="L12" s="12">
        <f t="shared" si="2"/>
        <v>98</v>
      </c>
      <c r="M12" s="12">
        <f t="shared" si="2"/>
        <v>84</v>
      </c>
      <c r="N12" s="12">
        <f t="shared" si="2"/>
        <v>70</v>
      </c>
      <c r="O12" s="12">
        <f t="shared" si="2"/>
        <v>56</v>
      </c>
      <c r="P12" s="14" t="s">
        <v>43</v>
      </c>
      <c r="Q12" s="14">
        <v>1</v>
      </c>
      <c r="R12" s="15" t="s">
        <v>52</v>
      </c>
      <c r="S12" s="27" t="s">
        <v>58</v>
      </c>
      <c r="T12" s="27" t="s">
        <v>73</v>
      </c>
    </row>
    <row r="13" spans="1:20" ht="231" x14ac:dyDescent="0.45">
      <c r="A13" s="7" t="s">
        <v>27</v>
      </c>
      <c r="B13" s="7" t="s">
        <v>33</v>
      </c>
      <c r="C13" s="8" t="s">
        <v>79</v>
      </c>
      <c r="D13" s="9">
        <v>52</v>
      </c>
      <c r="E13" s="9">
        <v>134</v>
      </c>
      <c r="F13" s="9">
        <v>192</v>
      </c>
      <c r="G13" s="10">
        <f t="shared" si="0"/>
        <v>1.3378559999999999</v>
      </c>
      <c r="H13" s="10" t="s">
        <v>37</v>
      </c>
      <c r="I13" s="24">
        <v>46054.000983796293</v>
      </c>
      <c r="J13" s="11">
        <v>250</v>
      </c>
      <c r="K13" s="13">
        <f t="shared" si="1"/>
        <v>175</v>
      </c>
      <c r="L13" s="12">
        <f t="shared" si="2"/>
        <v>175</v>
      </c>
      <c r="M13" s="12">
        <f t="shared" si="2"/>
        <v>150</v>
      </c>
      <c r="N13" s="12">
        <f t="shared" si="2"/>
        <v>125</v>
      </c>
      <c r="O13" s="12">
        <f t="shared" si="2"/>
        <v>100</v>
      </c>
      <c r="P13" s="14" t="s">
        <v>43</v>
      </c>
      <c r="Q13" s="14">
        <v>8</v>
      </c>
      <c r="R13" s="15" t="s">
        <v>81</v>
      </c>
      <c r="S13" s="27" t="s">
        <v>70</v>
      </c>
      <c r="T13" s="27" t="s">
        <v>66</v>
      </c>
    </row>
    <row r="14" spans="1:20" ht="126" x14ac:dyDescent="0.45">
      <c r="A14" s="7" t="s">
        <v>28</v>
      </c>
      <c r="B14" s="7" t="s">
        <v>34</v>
      </c>
      <c r="C14" s="8" t="s">
        <v>4</v>
      </c>
      <c r="D14" s="9">
        <v>70</v>
      </c>
      <c r="E14" s="9">
        <v>33</v>
      </c>
      <c r="F14" s="9">
        <v>180</v>
      </c>
      <c r="G14" s="10">
        <f t="shared" si="0"/>
        <v>0.4158</v>
      </c>
      <c r="H14" s="10" t="s">
        <v>37</v>
      </c>
      <c r="I14" s="24">
        <v>46054.000983796293</v>
      </c>
      <c r="J14" s="11">
        <v>56</v>
      </c>
      <c r="K14" s="13">
        <f t="shared" si="1"/>
        <v>39.199999999999996</v>
      </c>
      <c r="L14" s="12">
        <f t="shared" si="2"/>
        <v>39.199999999999996</v>
      </c>
      <c r="M14" s="12">
        <f t="shared" si="2"/>
        <v>33.6</v>
      </c>
      <c r="N14" s="12">
        <f t="shared" si="2"/>
        <v>28</v>
      </c>
      <c r="O14" s="12">
        <f t="shared" si="2"/>
        <v>22.400000000000002</v>
      </c>
      <c r="P14" s="14" t="s">
        <v>43</v>
      </c>
      <c r="Q14" s="14">
        <v>4</v>
      </c>
      <c r="R14" s="15" t="s">
        <v>53</v>
      </c>
      <c r="S14" s="27" t="s">
        <v>74</v>
      </c>
      <c r="T14" s="27" t="s">
        <v>62</v>
      </c>
    </row>
    <row r="15" spans="1:20" ht="241.5" x14ac:dyDescent="0.45">
      <c r="A15" s="7" t="s">
        <v>29</v>
      </c>
      <c r="B15" s="7" t="s">
        <v>35</v>
      </c>
      <c r="C15" s="8" t="s">
        <v>80</v>
      </c>
      <c r="G15" s="10"/>
      <c r="H15" s="10" t="s">
        <v>37</v>
      </c>
      <c r="I15" s="24">
        <v>46054.000983796293</v>
      </c>
      <c r="J15" s="11">
        <v>55</v>
      </c>
      <c r="K15" s="13">
        <f t="shared" si="1"/>
        <v>38.5</v>
      </c>
      <c r="L15" s="12">
        <f t="shared" si="2"/>
        <v>38.5</v>
      </c>
      <c r="M15" s="12">
        <f t="shared" si="2"/>
        <v>33</v>
      </c>
      <c r="N15" s="12">
        <f t="shared" si="2"/>
        <v>27.5</v>
      </c>
      <c r="O15" s="12">
        <f t="shared" si="2"/>
        <v>22</v>
      </c>
      <c r="P15" s="14" t="s">
        <v>43</v>
      </c>
      <c r="Q15" s="14">
        <v>6</v>
      </c>
      <c r="R15" s="15" t="s">
        <v>54</v>
      </c>
      <c r="S15" s="27" t="s">
        <v>75</v>
      </c>
      <c r="T15" s="27" t="s">
        <v>76</v>
      </c>
    </row>
    <row r="16" spans="1:20" x14ac:dyDescent="0.45">
      <c r="C16" s="17"/>
      <c r="D16" s="18"/>
      <c r="E16" s="18"/>
      <c r="F16" s="18"/>
      <c r="G16" s="19">
        <f>SUM(G2:G14)</f>
        <v>8.5440980000000017</v>
      </c>
      <c r="H16" s="19"/>
      <c r="I16" s="25"/>
      <c r="J16" s="20">
        <f>SUM(J2:J15)</f>
        <v>2941</v>
      </c>
      <c r="K16" s="13">
        <f t="shared" si="1"/>
        <v>2058.6999999999998</v>
      </c>
      <c r="L16" s="21">
        <f>SUM(L2:L15)</f>
        <v>2058.6999999999998</v>
      </c>
      <c r="M16" s="21">
        <f>SUM(M2:M15)</f>
        <v>1764.6</v>
      </c>
      <c r="N16" s="21">
        <f>SUM(N2:N15)</f>
        <v>1470.5</v>
      </c>
      <c r="O16" s="21">
        <f>SUM(O2:O15)</f>
        <v>1176.4000000000001</v>
      </c>
    </row>
    <row r="17" spans="3:15" hidden="1" x14ac:dyDescent="0.45">
      <c r="C17" s="22" t="s">
        <v>14</v>
      </c>
      <c r="J17" s="13">
        <v>100</v>
      </c>
      <c r="K17" s="13">
        <f t="shared" si="1"/>
        <v>0</v>
      </c>
    </row>
    <row r="18" spans="3:15" hidden="1" x14ac:dyDescent="0.45">
      <c r="J18" s="13" t="e">
        <f>+$J$17*(#REF!-1)</f>
        <v>#REF!</v>
      </c>
      <c r="K18" s="13" t="e">
        <f t="shared" si="1"/>
        <v>#REF!</v>
      </c>
      <c r="L18" s="13" t="e">
        <f t="shared" ref="L18:O29" si="3">L$16-$J18</f>
        <v>#REF!</v>
      </c>
      <c r="M18" s="13" t="e">
        <f t="shared" si="3"/>
        <v>#REF!</v>
      </c>
      <c r="N18" s="13" t="e">
        <f t="shared" si="3"/>
        <v>#REF!</v>
      </c>
      <c r="O18" s="13" t="e">
        <f t="shared" si="3"/>
        <v>#REF!</v>
      </c>
    </row>
    <row r="19" spans="3:15" hidden="1" x14ac:dyDescent="0.45">
      <c r="J19" s="13" t="e">
        <f>+$J$17*(#REF!-1)</f>
        <v>#REF!</v>
      </c>
      <c r="K19" s="13" t="e">
        <f t="shared" si="1"/>
        <v>#REF!</v>
      </c>
      <c r="L19" s="13" t="e">
        <f t="shared" si="3"/>
        <v>#REF!</v>
      </c>
      <c r="M19" s="13" t="e">
        <f t="shared" si="3"/>
        <v>#REF!</v>
      </c>
      <c r="N19" s="13" t="e">
        <f t="shared" si="3"/>
        <v>#REF!</v>
      </c>
      <c r="O19" s="13" t="e">
        <f t="shared" si="3"/>
        <v>#REF!</v>
      </c>
    </row>
    <row r="20" spans="3:15" hidden="1" x14ac:dyDescent="0.45">
      <c r="J20" s="13" t="e">
        <f>+$J$17*(#REF!-1)</f>
        <v>#REF!</v>
      </c>
      <c r="K20" s="13" t="e">
        <f t="shared" si="1"/>
        <v>#REF!</v>
      </c>
      <c r="L20" s="13" t="e">
        <f t="shared" si="3"/>
        <v>#REF!</v>
      </c>
      <c r="M20" s="13" t="e">
        <f t="shared" si="3"/>
        <v>#REF!</v>
      </c>
      <c r="N20" s="13" t="e">
        <f t="shared" si="3"/>
        <v>#REF!</v>
      </c>
      <c r="O20" s="13" t="e">
        <f t="shared" si="3"/>
        <v>#REF!</v>
      </c>
    </row>
    <row r="21" spans="3:15" hidden="1" x14ac:dyDescent="0.45">
      <c r="J21" s="13" t="e">
        <f>+$J$17*(#REF!-1)</f>
        <v>#REF!</v>
      </c>
      <c r="K21" s="13" t="e">
        <f t="shared" si="1"/>
        <v>#REF!</v>
      </c>
      <c r="L21" s="13" t="e">
        <f t="shared" si="3"/>
        <v>#REF!</v>
      </c>
      <c r="M21" s="13" t="e">
        <f t="shared" si="3"/>
        <v>#REF!</v>
      </c>
      <c r="N21" s="13" t="e">
        <f t="shared" si="3"/>
        <v>#REF!</v>
      </c>
      <c r="O21" s="13" t="e">
        <f t="shared" si="3"/>
        <v>#REF!</v>
      </c>
    </row>
    <row r="22" spans="3:15" hidden="1" x14ac:dyDescent="0.45">
      <c r="J22" s="13" t="e">
        <f>+$J$17*(#REF!-1)</f>
        <v>#REF!</v>
      </c>
      <c r="K22" s="13" t="e">
        <f t="shared" si="1"/>
        <v>#REF!</v>
      </c>
      <c r="L22" s="13" t="e">
        <f t="shared" si="3"/>
        <v>#REF!</v>
      </c>
      <c r="M22" s="13" t="e">
        <f t="shared" si="3"/>
        <v>#REF!</v>
      </c>
      <c r="N22" s="13" t="e">
        <f t="shared" si="3"/>
        <v>#REF!</v>
      </c>
      <c r="O22" s="13" t="e">
        <f t="shared" si="3"/>
        <v>#REF!</v>
      </c>
    </row>
    <row r="23" spans="3:15" hidden="1" x14ac:dyDescent="0.45">
      <c r="J23" s="13" t="e">
        <f>+$J$17*(#REF!-1)</f>
        <v>#REF!</v>
      </c>
      <c r="K23" s="13" t="e">
        <f t="shared" si="1"/>
        <v>#REF!</v>
      </c>
      <c r="L23" s="13" t="e">
        <f t="shared" si="3"/>
        <v>#REF!</v>
      </c>
      <c r="M23" s="13" t="e">
        <f t="shared" si="3"/>
        <v>#REF!</v>
      </c>
      <c r="N23" s="13" t="e">
        <f t="shared" si="3"/>
        <v>#REF!</v>
      </c>
      <c r="O23" s="13" t="e">
        <f t="shared" si="3"/>
        <v>#REF!</v>
      </c>
    </row>
    <row r="24" spans="3:15" hidden="1" x14ac:dyDescent="0.45">
      <c r="J24" s="13" t="e">
        <f>+$J$17*(#REF!-1)</f>
        <v>#REF!</v>
      </c>
      <c r="K24" s="13" t="e">
        <f t="shared" si="1"/>
        <v>#REF!</v>
      </c>
      <c r="L24" s="13" t="e">
        <f t="shared" si="3"/>
        <v>#REF!</v>
      </c>
      <c r="M24" s="13" t="e">
        <f t="shared" si="3"/>
        <v>#REF!</v>
      </c>
      <c r="N24" s="13" t="e">
        <f t="shared" si="3"/>
        <v>#REF!</v>
      </c>
      <c r="O24" s="13" t="e">
        <f t="shared" si="3"/>
        <v>#REF!</v>
      </c>
    </row>
    <row r="25" spans="3:15" hidden="1" x14ac:dyDescent="0.45">
      <c r="J25" s="13" t="e">
        <f>+$J$17*(#REF!-1)</f>
        <v>#REF!</v>
      </c>
      <c r="K25" s="13" t="e">
        <f t="shared" si="1"/>
        <v>#REF!</v>
      </c>
      <c r="L25" s="13" t="e">
        <f t="shared" si="3"/>
        <v>#REF!</v>
      </c>
      <c r="M25" s="13" t="e">
        <f t="shared" si="3"/>
        <v>#REF!</v>
      </c>
      <c r="N25" s="13" t="e">
        <f t="shared" si="3"/>
        <v>#REF!</v>
      </c>
      <c r="O25" s="13" t="e">
        <f t="shared" si="3"/>
        <v>#REF!</v>
      </c>
    </row>
    <row r="26" spans="3:15" hidden="1" x14ac:dyDescent="0.45">
      <c r="J26" s="13" t="e">
        <f>+$J$17*(#REF!-1)</f>
        <v>#REF!</v>
      </c>
      <c r="K26" s="13" t="e">
        <f t="shared" si="1"/>
        <v>#REF!</v>
      </c>
      <c r="L26" s="13" t="e">
        <f t="shared" si="3"/>
        <v>#REF!</v>
      </c>
      <c r="M26" s="13" t="e">
        <f t="shared" si="3"/>
        <v>#REF!</v>
      </c>
      <c r="N26" s="13" t="e">
        <f t="shared" si="3"/>
        <v>#REF!</v>
      </c>
      <c r="O26" s="13" t="e">
        <f t="shared" si="3"/>
        <v>#REF!</v>
      </c>
    </row>
    <row r="27" spans="3:15" hidden="1" x14ac:dyDescent="0.45">
      <c r="J27" s="13" t="e">
        <f>+$J$17*(#REF!-1)</f>
        <v>#REF!</v>
      </c>
      <c r="K27" s="13" t="e">
        <f t="shared" si="1"/>
        <v>#REF!</v>
      </c>
      <c r="L27" s="13" t="e">
        <f t="shared" si="3"/>
        <v>#REF!</v>
      </c>
      <c r="M27" s="13" t="e">
        <f t="shared" si="3"/>
        <v>#REF!</v>
      </c>
      <c r="N27" s="13" t="e">
        <f t="shared" si="3"/>
        <v>#REF!</v>
      </c>
      <c r="O27" s="13" t="e">
        <f t="shared" si="3"/>
        <v>#REF!</v>
      </c>
    </row>
    <row r="28" spans="3:15" hidden="1" x14ac:dyDescent="0.45">
      <c r="J28" s="13" t="e">
        <f>+$J$17*(#REF!-1)</f>
        <v>#REF!</v>
      </c>
      <c r="K28" s="13" t="e">
        <f t="shared" si="1"/>
        <v>#REF!</v>
      </c>
      <c r="L28" s="13" t="e">
        <f t="shared" si="3"/>
        <v>#REF!</v>
      </c>
      <c r="M28" s="13" t="e">
        <f t="shared" si="3"/>
        <v>#REF!</v>
      </c>
      <c r="N28" s="13" t="e">
        <f t="shared" si="3"/>
        <v>#REF!</v>
      </c>
      <c r="O28" s="13" t="e">
        <f t="shared" si="3"/>
        <v>#REF!</v>
      </c>
    </row>
    <row r="29" spans="3:15" hidden="1" x14ac:dyDescent="0.45">
      <c r="J29" s="13" t="e">
        <f>+$J$17*(#REF!-1)</f>
        <v>#REF!</v>
      </c>
      <c r="K29" s="13" t="e">
        <f t="shared" si="1"/>
        <v>#REF!</v>
      </c>
      <c r="L29" s="13" t="e">
        <f t="shared" si="3"/>
        <v>#REF!</v>
      </c>
      <c r="M29" s="13" t="e">
        <f t="shared" si="3"/>
        <v>#REF!</v>
      </c>
      <c r="N29" s="13" t="e">
        <f t="shared" si="3"/>
        <v>#REF!</v>
      </c>
      <c r="O29" s="13" t="e">
        <f t="shared" si="3"/>
        <v>#REF!</v>
      </c>
    </row>
    <row r="30" spans="3:15" hidden="1" x14ac:dyDescent="0.45">
      <c r="J30" s="13" t="e">
        <f>+$J$17*(#REF!-1)</f>
        <v>#REF!</v>
      </c>
      <c r="K30" s="13" t="e">
        <f t="shared" si="1"/>
        <v>#REF!</v>
      </c>
      <c r="L30" s="13" t="e">
        <f t="shared" ref="L30:N32" si="4">L$16-$J30</f>
        <v>#REF!</v>
      </c>
      <c r="M30" s="13" t="e">
        <f t="shared" si="4"/>
        <v>#REF!</v>
      </c>
      <c r="N30" s="13" t="e">
        <f t="shared" si="4"/>
        <v>#REF!</v>
      </c>
      <c r="O30" s="13"/>
    </row>
    <row r="31" spans="3:15" hidden="1" x14ac:dyDescent="0.45">
      <c r="J31" s="13" t="e">
        <f>+$J$17*(#REF!-1)</f>
        <v>#REF!</v>
      </c>
      <c r="K31" s="13" t="e">
        <f t="shared" si="1"/>
        <v>#REF!</v>
      </c>
      <c r="L31" s="13" t="e">
        <f t="shared" si="4"/>
        <v>#REF!</v>
      </c>
      <c r="M31" s="13" t="e">
        <f t="shared" si="4"/>
        <v>#REF!</v>
      </c>
      <c r="N31" s="13" t="e">
        <f t="shared" si="4"/>
        <v>#REF!</v>
      </c>
      <c r="O31" s="13"/>
    </row>
    <row r="32" spans="3:15" hidden="1" x14ac:dyDescent="0.45">
      <c r="J32" s="13" t="e">
        <f>+$J$17*(#REF!-1)</f>
        <v>#REF!</v>
      </c>
      <c r="K32" s="13" t="e">
        <f t="shared" si="1"/>
        <v>#REF!</v>
      </c>
      <c r="L32" s="13" t="e">
        <f t="shared" si="4"/>
        <v>#REF!</v>
      </c>
      <c r="M32" s="13" t="e">
        <f t="shared" si="4"/>
        <v>#REF!</v>
      </c>
      <c r="N32" s="13" t="e">
        <f t="shared" si="4"/>
        <v>#REF!</v>
      </c>
      <c r="O32" s="13"/>
    </row>
    <row r="33" spans="10:15" hidden="1" x14ac:dyDescent="0.45">
      <c r="J33" s="13" t="e">
        <f>+$J$17*(#REF!-1)</f>
        <v>#REF!</v>
      </c>
      <c r="K33" s="13" t="e">
        <f t="shared" si="1"/>
        <v>#REF!</v>
      </c>
      <c r="L33" s="13" t="e">
        <f t="shared" ref="L33:M35" si="5">L$16-$J33</f>
        <v>#REF!</v>
      </c>
      <c r="M33" s="13" t="e">
        <f t="shared" si="5"/>
        <v>#REF!</v>
      </c>
      <c r="N33" s="13"/>
      <c r="O33" s="13"/>
    </row>
    <row r="34" spans="10:15" hidden="1" x14ac:dyDescent="0.45">
      <c r="J34" s="13" t="e">
        <f>+$J$17*(#REF!-1)</f>
        <v>#REF!</v>
      </c>
      <c r="K34" s="13" t="e">
        <f t="shared" si="1"/>
        <v>#REF!</v>
      </c>
      <c r="L34" s="13" t="e">
        <f t="shared" si="5"/>
        <v>#REF!</v>
      </c>
      <c r="M34" s="13" t="e">
        <f t="shared" si="5"/>
        <v>#REF!</v>
      </c>
      <c r="N34" s="13"/>
      <c r="O34" s="13"/>
    </row>
    <row r="35" spans="10:15" hidden="1" x14ac:dyDescent="0.45">
      <c r="J35" s="13" t="e">
        <f>+$J$17*(#REF!-1)</f>
        <v>#REF!</v>
      </c>
      <c r="K35" s="13" t="e">
        <f t="shared" si="1"/>
        <v>#REF!</v>
      </c>
      <c r="L35" s="13" t="e">
        <f t="shared" si="5"/>
        <v>#REF!</v>
      </c>
      <c r="M35" s="13" t="e">
        <f t="shared" si="5"/>
        <v>#REF!</v>
      </c>
      <c r="N35" s="13"/>
      <c r="O35" s="13"/>
    </row>
    <row r="36" spans="10:15" hidden="1" x14ac:dyDescent="0.45"/>
    <row r="37" spans="10:15" hidden="1" x14ac:dyDescent="0.45"/>
    <row r="38" spans="10:15" hidden="1" x14ac:dyDescent="0.45"/>
  </sheetData>
  <phoneticPr fontId="3" type="noConversion"/>
  <hyperlinks>
    <hyperlink ref="C5" r:id="rId1" display="Table de sejour +4 Chaises" xr:uid="{C62995D2-FF24-443D-BA8A-7875E387AEAD}"/>
    <hyperlink ref="C4" r:id="rId2" xr:uid="{8F536EEE-E19C-4DAD-A73B-FB6F92DC253D}"/>
    <hyperlink ref="C2" r:id="rId3" display="Canapé" xr:uid="{D1565B12-7A98-4B4D-B0B5-D76BC5CFD936}"/>
    <hyperlink ref="C13" r:id="rId4" display="Garde robe" xr:uid="{A4DA1E62-7C24-431D-96B4-77E773792DD1}"/>
    <hyperlink ref="C7" r:id="rId5" xr:uid="{5DDDA6C2-FF4C-4274-91B6-EE910F03562F}"/>
    <hyperlink ref="C12" r:id="rId6" xr:uid="{235AF5DF-1A27-4BB0-9A7C-ADB0B0242746}"/>
    <hyperlink ref="C11" r:id="rId7" xr:uid="{9C96060A-FFF0-403E-A39F-41CB58008F6F}"/>
    <hyperlink ref="C10" r:id="rId8" display="Chevet X 2" xr:uid="{6DD40177-1F9F-46DF-B987-10D13DCD288A}"/>
    <hyperlink ref="C8" r:id="rId9" xr:uid="{F8A16020-C4EC-4E34-8AAB-D8630A17F1BE}"/>
    <hyperlink ref="C6" r:id="rId10" xr:uid="{D56B75CE-365D-4830-8DE4-13DB07FE500C}"/>
    <hyperlink ref="C9" r:id="rId11" xr:uid="{7D3BD571-9C5F-48C0-AF7D-2B1FDBF97605}"/>
    <hyperlink ref="C14" r:id="rId12" xr:uid="{1788A570-CCDD-4388-A268-98E26BB3F5F3}"/>
    <hyperlink ref="C15" r:id="rId13" display="Meuble WC x 2" xr:uid="{C491221A-10A9-44FC-9AE4-F50A15B65ADE}"/>
    <hyperlink ref="C3" r:id="rId14" xr:uid="{ACF81FB8-A756-4EC8-A0D3-30EDF1462BCF}"/>
  </hyperlinks>
  <pageMargins left="0.7" right="0.7" top="0.75" bottom="0.75" header="0.3" footer="0.3"/>
  <pageSetup paperSize="9" orientation="landscape"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Meubles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Anne-Christine BOILEAU</dc:creator>
  <cp:lastModifiedBy>Anne-Christine BOILEAU</cp:lastModifiedBy>
  <cp:lastPrinted>2026-07-17T07:31:21Z</cp:lastPrinted>
  <dcterms:created xsi:type="dcterms:W3CDTF">2026-07-17T06:09:02Z</dcterms:created>
  <dcterms:modified xsi:type="dcterms:W3CDTF">2026-07-22T15:39:32Z</dcterms:modified>
</cp:coreProperties>
</file>