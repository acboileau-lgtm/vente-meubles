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86A6C5F3-FCDA-4FF9-8644-4C131B70DAA4}"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7" i="1" l="1"/>
  <c r="L1" i="1"/>
  <c r="L3" i="1" s="1"/>
  <c r="K3" i="1" s="1"/>
  <c r="J19" i="1"/>
  <c r="J20" i="1"/>
  <c r="J21" i="1"/>
  <c r="J22" i="1"/>
  <c r="J23" i="1"/>
  <c r="J24" i="1"/>
  <c r="J25" i="1"/>
  <c r="J26" i="1"/>
  <c r="J27" i="1"/>
  <c r="J28" i="1"/>
  <c r="J29" i="1"/>
  <c r="J30" i="1"/>
  <c r="J31" i="1"/>
  <c r="J32" i="1"/>
  <c r="J33" i="1"/>
  <c r="J34" i="1"/>
  <c r="J35" i="1"/>
  <c r="J18" i="1"/>
  <c r="O15" i="1"/>
  <c r="O14" i="1"/>
  <c r="O13" i="1"/>
  <c r="O12" i="1"/>
  <c r="O11" i="1"/>
  <c r="O10" i="1"/>
  <c r="O9" i="1"/>
  <c r="O8" i="1"/>
  <c r="O7" i="1"/>
  <c r="O6" i="1"/>
  <c r="O5" i="1"/>
  <c r="O4" i="1"/>
  <c r="O3" i="1"/>
  <c r="O2" i="1"/>
  <c r="N15" i="1"/>
  <c r="N14" i="1"/>
  <c r="N13" i="1"/>
  <c r="N12" i="1"/>
  <c r="N11" i="1"/>
  <c r="N10" i="1"/>
  <c r="N9" i="1"/>
  <c r="N8" i="1"/>
  <c r="N7" i="1"/>
  <c r="N6" i="1"/>
  <c r="N5" i="1"/>
  <c r="N4" i="1"/>
  <c r="N3" i="1"/>
  <c r="N2" i="1"/>
  <c r="M3" i="1"/>
  <c r="M4" i="1"/>
  <c r="M5" i="1"/>
  <c r="M6" i="1"/>
  <c r="M7" i="1"/>
  <c r="M8" i="1"/>
  <c r="M9" i="1"/>
  <c r="M10" i="1"/>
  <c r="M11" i="1"/>
  <c r="M12" i="1"/>
  <c r="M13" i="1"/>
  <c r="M14" i="1"/>
  <c r="M15" i="1"/>
  <c r="M2" i="1"/>
  <c r="G10" i="1"/>
  <c r="J16" i="1"/>
  <c r="G9" i="1"/>
  <c r="G6" i="1"/>
  <c r="G12" i="1"/>
  <c r="G5" i="1"/>
  <c r="G7" i="1"/>
  <c r="G8" i="1"/>
  <c r="G11" i="1"/>
  <c r="G13" i="1"/>
  <c r="G14" i="1"/>
  <c r="G2" i="1"/>
  <c r="G3" i="1"/>
  <c r="G4" i="1"/>
  <c r="L10" i="1" l="1"/>
  <c r="K10" i="1" s="1"/>
  <c r="L11" i="1"/>
  <c r="K11" i="1" s="1"/>
  <c r="L12" i="1"/>
  <c r="K12" i="1" s="1"/>
  <c r="L13" i="1"/>
  <c r="K13" i="1" s="1"/>
  <c r="L14" i="1"/>
  <c r="K14" i="1" s="1"/>
  <c r="L15" i="1"/>
  <c r="K15" i="1" s="1"/>
  <c r="L8" i="1"/>
  <c r="K8" i="1" s="1"/>
  <c r="L4" i="1"/>
  <c r="K4" i="1" s="1"/>
  <c r="L5" i="1"/>
  <c r="K5" i="1" s="1"/>
  <c r="L6" i="1"/>
  <c r="K6" i="1" s="1"/>
  <c r="L7" i="1"/>
  <c r="K7" i="1" s="1"/>
  <c r="L9" i="1"/>
  <c r="K9" i="1" s="1"/>
  <c r="M16" i="1"/>
  <c r="M22" i="1" s="1"/>
  <c r="L2" i="1"/>
  <c r="K2" i="1" s="1"/>
  <c r="O16" i="1"/>
  <c r="O24" i="1" s="1"/>
  <c r="G16" i="1"/>
  <c r="N16" i="1"/>
  <c r="N24" i="1" s="1"/>
  <c r="O26" i="1" l="1"/>
  <c r="M19" i="1"/>
  <c r="L16" i="1"/>
  <c r="L21" i="1" s="1"/>
  <c r="K21" i="1" s="1"/>
  <c r="O23" i="1"/>
  <c r="O19" i="1"/>
  <c r="M30" i="1"/>
  <c r="M24" i="1"/>
  <c r="M35" i="1"/>
  <c r="M33" i="1"/>
  <c r="M28" i="1"/>
  <c r="M27" i="1"/>
  <c r="M31" i="1"/>
  <c r="M18" i="1"/>
  <c r="M29" i="1"/>
  <c r="L25" i="1"/>
  <c r="K25" i="1" s="1"/>
  <c r="L26" i="1"/>
  <c r="K26" i="1" s="1"/>
  <c r="L28" i="1"/>
  <c r="K28" i="1" s="1"/>
  <c r="L27" i="1"/>
  <c r="K27" i="1" s="1"/>
  <c r="L35" i="1"/>
  <c r="K35" i="1" s="1"/>
  <c r="M21" i="1"/>
  <c r="L31" i="1"/>
  <c r="K31" i="1" s="1"/>
  <c r="M25" i="1"/>
  <c r="M23" i="1"/>
  <c r="M26" i="1"/>
  <c r="M20" i="1"/>
  <c r="L22" i="1"/>
  <c r="K22" i="1" s="1"/>
  <c r="M32" i="1"/>
  <c r="M34" i="1"/>
  <c r="O29" i="1"/>
  <c r="O25" i="1"/>
  <c r="O28" i="1"/>
  <c r="O20" i="1"/>
  <c r="O27" i="1"/>
  <c r="O22" i="1"/>
  <c r="O21" i="1"/>
  <c r="O18" i="1"/>
  <c r="N27" i="1"/>
  <c r="N28" i="1"/>
  <c r="N25" i="1"/>
  <c r="N21" i="1"/>
  <c r="N19" i="1"/>
  <c r="N29" i="1"/>
  <c r="N23" i="1"/>
  <c r="N26" i="1"/>
  <c r="N31" i="1"/>
  <c r="N30" i="1"/>
  <c r="N18" i="1"/>
  <c r="N20" i="1"/>
  <c r="N22" i="1"/>
  <c r="N32" i="1"/>
  <c r="L24" i="1" l="1"/>
  <c r="K24" i="1" s="1"/>
  <c r="L23" i="1"/>
  <c r="K23" i="1" s="1"/>
  <c r="K16" i="1"/>
  <c r="L33" i="1"/>
  <c r="K33" i="1" s="1"/>
  <c r="L29" i="1"/>
  <c r="K29" i="1" s="1"/>
  <c r="L18" i="1"/>
  <c r="K18" i="1" s="1"/>
  <c r="L34" i="1"/>
  <c r="K34" i="1" s="1"/>
  <c r="L30" i="1"/>
  <c r="K30" i="1" s="1"/>
  <c r="L32" i="1"/>
  <c r="K32" i="1" s="1"/>
  <c r="L19" i="1"/>
  <c r="K19" i="1" s="1"/>
  <c r="L20" i="1"/>
  <c r="K20" i="1" s="1"/>
</calcChain>
</file>

<file path=xl/sharedStrings.xml><?xml version="1.0" encoding="utf-8"?>
<sst xmlns="http://schemas.openxmlformats.org/spreadsheetml/2006/main" count="129" uniqueCount="89">
  <si>
    <t>Table salon</t>
  </si>
  <si>
    <t>Meuble TV</t>
  </si>
  <si>
    <t>Bureau</t>
  </si>
  <si>
    <t>Lit</t>
  </si>
  <si>
    <t>Meuble Entrée</t>
  </si>
  <si>
    <t>Matelas</t>
  </si>
  <si>
    <t>Haut</t>
  </si>
  <si>
    <t>Larg</t>
  </si>
  <si>
    <t>Long</t>
  </si>
  <si>
    <r>
      <t>en m</t>
    </r>
    <r>
      <rPr>
        <vertAlign val="superscript"/>
        <sz val="11"/>
        <color theme="1"/>
        <rFont val="Aptos Narrow"/>
        <family val="2"/>
        <scheme val="minor"/>
      </rPr>
      <t>3</t>
    </r>
  </si>
  <si>
    <t>Fauteuil bureau</t>
  </si>
  <si>
    <t>Sommier</t>
  </si>
  <si>
    <t>Desserte cuisine</t>
  </si>
  <si>
    <t>Prix neuf</t>
  </si>
  <si>
    <t>BOX (par mois)</t>
  </si>
  <si>
    <t>Ref</t>
  </si>
  <si>
    <t>001</t>
  </si>
  <si>
    <t>002</t>
  </si>
  <si>
    <t>003</t>
  </si>
  <si>
    <t>004</t>
  </si>
  <si>
    <t>005</t>
  </si>
  <si>
    <t>006</t>
  </si>
  <si>
    <t>007</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</si>
  <si>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</si>
  <si>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</si>
  <si>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</si>
  <si>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</si>
  <si>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</si>
  <si>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</si>
  <si>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</si>
  <si>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</si>
  <si>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</si>
  <si>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</si>
  <si>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</si>
  <si>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</si>
  <si>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</si>
  <si>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</si>
  <si>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</si>
  <si>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</si>
  <si>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</si>
  <si>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</si>
  <si>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</si>
  <si>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</si>
  <si>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</si>
  <si>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</si>
  <si>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</si>
  <si>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t>Nom</t>
  </si>
  <si>
    <t>Couleur</t>
  </si>
  <si>
    <t>Matière</t>
  </si>
  <si>
    <t>Gris</t>
  </si>
  <si>
    <t>Imitation chêne</t>
  </si>
  <si>
    <t>panneaux de particules mélaminés</t>
  </si>
  <si>
    <t xml:space="preserve"> chêne et noir </t>
  </si>
  <si>
    <t>panneaux de particules</t>
  </si>
  <si>
    <t>bicolore,  noir et blanc pour la table et gris foncé pour les chaises</t>
  </si>
  <si>
    <t xml:space="preserve"> tissu velours côtelé</t>
  </si>
  <si>
    <t>teinte noire élégante avec un revêtement effet bois clair</t>
  </si>
  <si>
    <t>panneau de particules</t>
  </si>
  <si>
    <t>coloris Chêne artisan</t>
  </si>
  <si>
    <t>noir d'encre</t>
  </si>
  <si>
    <t xml:space="preserve">surface PU résistante à l'usure </t>
  </si>
  <si>
    <t>teintes chêne kronberg et waterford</t>
  </si>
  <si>
    <t xml:space="preserve"> tissu stretch 100 % polyester</t>
  </si>
  <si>
    <t>Blanc</t>
  </si>
  <si>
    <t>métal</t>
  </si>
  <si>
    <t>noir avec un plateau et des crochets en bois</t>
  </si>
  <si>
    <t>coloris naturel et noir</t>
  </si>
  <si>
    <t>Bois et Métal</t>
  </si>
  <si>
    <t>Table séjour +4 chaises</t>
  </si>
  <si>
    <t>Lot de 2 Chevets</t>
  </si>
  <si>
    <t>Armoire 3 portes battante</t>
  </si>
  <si>
    <t>Lot de 2 meubles WC</t>
  </si>
  <si>
    <t>Canapé 3 places convertible 2 couchages</t>
  </si>
  <si>
    <t>Réservé</t>
  </si>
  <si>
    <r>
      <rPr>
        <b/>
        <sz val="8"/>
        <color rgb="FF0070C0"/>
        <rFont val="Aptos Narrow"/>
        <family val="2"/>
        <scheme val="minor"/>
      </rPr>
      <t>Un pratique vestiaire multi-usages</t>
    </r>
    <r>
      <rPr>
        <sz val="8"/>
        <color theme="1"/>
        <rFont val="Aptos Narrow"/>
        <family val="2"/>
        <scheme val="minor"/>
      </rPr>
      <t xml:space="preserve">
Idéal dans l'entrée pour suspendre les vestes et les manteaux ou déposer les sacs et les chapeaux, le vestiaire d'entrée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
</t>
    </r>
  </si>
  <si>
    <r>
      <rPr>
        <b/>
        <sz val="8"/>
        <color rgb="FF0070C0"/>
        <rFont val="Aptos Narrow"/>
        <family val="2"/>
        <scheme val="minor"/>
      </rPr>
      <t>Lot de 2 meubles WC 2 portes avec étagères design industriel</t>
    </r>
    <r>
      <rPr>
        <sz val="8"/>
        <color theme="1"/>
        <rFont val="Aptos Narrow"/>
        <family val="2"/>
        <scheme val="minor"/>
      </rPr>
      <t xml:space="preserve">
Son style moderne et ses lignes sobres créeront une ambiance chaleureuse et un esprit "factory" très tendance !
Le mélange entre le coloris naturel du bois et le noir de sa structure en métal apportera une touche industrielle pour un esprit loft à votre intérieur.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Dimensions du meuble WC 2 portes avec étagères 
Dimensions globales : Longueur 18 cm x largeur 30 cm x Hauteur 119 cm
Placard du haut : L. 12,5 x l. 29 x H. 19 cm
Placard du bas : L. 12,5 x l. 29 x H.36,5 cm
</t>
    </r>
  </si>
  <si>
    <r>
      <rPr>
        <b/>
        <sz val="8"/>
        <color rgb="FF0070C0"/>
        <rFont val="Aptos Narrow"/>
        <family val="2"/>
        <scheme val="minor"/>
      </rPr>
      <t xml:space="preserve">Bureau Enfant  110 cm coloris Chêne artisan
</t>
    </r>
    <r>
      <rPr>
        <sz val="8"/>
        <color theme="1"/>
        <rFont val="Aptos Narrow"/>
        <family val="2"/>
        <scheme val="minor"/>
      </rPr>
      <t xml:space="preserve">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Conçu avec un panneau de particules recouvert de papier décor, il allie robustesse et esthétique.
Ce bureau est équipé d'une porte et d'une niche, offrant des solutions de rangement pratiques pour les fournitures scolaires et les petits objets personnels. 
La finition en papier décor assure une surface lisse et facile à entretenir, idéale pour un usage quotidien. 
Grâce à sa conception soignée, ce bureau s'adapte aux besoins des enfants tout en apportant une touche de sophistication à leur espace personnel.
Avec ses dimensions compactes, le Bureau Enfant  mesure 110 cm de longueur, 77 cm de hauteur et 55,5 cm de profondeur, ce qui en fait un choix parfait pour les chambres d'enfants où l'espace est précieux. Son poids total de 39 kg assure une stabilité optimale, garantissant ainsi une utilisation sécurisée. 
</t>
    </r>
  </si>
  <si>
    <r>
      <rPr>
        <b/>
        <sz val="8"/>
        <color rgb="FF0070C0"/>
        <rFont val="Aptos Narrow"/>
        <family val="2"/>
        <scheme val="minor"/>
      </rPr>
      <t xml:space="preserve">Fauteuil de bureau, chaise gaming, réglable, repose-pieds télescopique, mécanisme à bascule, appui-tête, support lombaire, charge 150 kg, noir d'encre
</t>
    </r>
    <r>
      <rPr>
        <sz val="8"/>
        <color theme="1"/>
        <rFont val="Aptos Narrow"/>
        <family val="2"/>
        <scheme val="minor"/>
      </rPr>
      <t xml:space="preserve">
Avec une hauteur réglable de 47 à 57 cm et un dossier incunable entre 90° et 135°, ce fauteuil de bureau vous permet de trouver la position pour travailler plus efficacement
Cette chaise ergonomique dispose d'un soutien lombaire, d'un repose-pieds, d'un appui-tête et de roulettes silencieuses en nylon, permettant à votre corps de se reposer pour que vous puissiez vous concentrer sur votre travail
Le siège, le dossier et le support lombaire sont rembourrés en mousse de haute densité qui ne se déforme pas facilement. Que ce soit pour le travail ou du divertissement, ce dossier ergonomique imite les courbes de votre corps pour vous offrir un meilleur soutien
La chaise gaming supporte jusqu'à 150 kg. Une chaise de bureau ergonomique avec une surface PU résistante à l'usure et facile à nettoyer qui s'adapte à votre maison ou votre bureau. Avec elle, gardez votre corps et votre esprit détendus !
Roulettes durables : Les roulettes ont réussi le test de 100 000 cycles du fournisseur de pièces (testé par le fournisseur).
Piètement étoile robuste : La base en forme d'étoile a résisté à un test de pression statique de la base de la chaise pendant une minute, supportant une charge de 1 136 kg sans se briser (testé par le fournisseur).
Caractéristiques :
- Couleurs : Noir d'encre
- Matériaux : Mousse de haute densité, nylon, acier, PU
- Dimensions du fauteuil : 67 x 66 x (116-126) cm (L x l x H)
- Hauteur assise/sol : 47-57 cm
- Dimensions de l’assise : 50 x 52 cm (L x l)
- Hauteur du dossier : 71 cm
- Diamètre d’une roulette : 50 mm
- Poids : 20,6 kg
- Capacité de charge statique max. : 150 kg
</t>
    </r>
  </si>
  <si>
    <t xml:space="preserve">Lit adulte 140x190
Le lit adulte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Sa structure est conçue en panneau de particules de 15 et 18 mm, assurant robustesse et durabilité. 
Bien que vendu sans sommier ni matelas, ce lit offre une base solide pour accueillir le couchage de votre choix. 
Dimensions de couchage de 140x190 cm. 
Avec une longueur de 194,7 cm, une largeur de 148,3 cm et une hauteur de 71,7 cm, il s'intègre facilement dans la plupart des espaces. </t>
  </si>
  <si>
    <r>
      <rPr>
        <b/>
        <sz val="8"/>
        <color rgb="FF0070C0"/>
        <rFont val="Aptos Narrow"/>
        <family val="2"/>
        <scheme val="minor"/>
      </rPr>
      <t xml:space="preserve">Lot de 2 Chevets 
</t>
    </r>
    <r>
      <rPr>
        <sz val="8"/>
        <color theme="1"/>
        <rFont val="Aptos Narrow"/>
        <family val="2"/>
        <scheme val="minor"/>
      </rPr>
      <t xml:space="preserve">
Chevet 1 tiroir,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 </t>
    </r>
  </si>
  <si>
    <r>
      <rPr>
        <b/>
        <sz val="8"/>
        <color rgb="FF0070C0"/>
        <rFont val="Aptos Narrow"/>
        <family val="2"/>
        <scheme val="minor"/>
      </rPr>
      <t xml:space="preserve">Matelas 140x190 cm 8 HEURES FUTE : Confort et soutien optimal fabriqué en France
</t>
    </r>
    <r>
      <rPr>
        <sz val="8"/>
        <color theme="1"/>
        <rFont val="Aptos Narrow"/>
        <family val="2"/>
        <scheme val="minor"/>
      </rPr>
      <t xml:space="preserve">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Avec un poids de 32 kg, il est à la fois robuste et facile à manipuler. 
</t>
    </r>
  </si>
  <si>
    <r>
      <rPr>
        <b/>
        <sz val="8"/>
        <color rgb="FF0070C0"/>
        <rFont val="Aptos Narrow"/>
        <family val="2"/>
        <scheme val="minor"/>
      </rPr>
      <t xml:space="preserve">Cadre à lattes fixe 140x190 cm 
</t>
    </r>
    <r>
      <rPr>
        <sz val="8"/>
        <color theme="1"/>
        <rFont val="Aptos Narrow"/>
        <family val="2"/>
        <scheme val="minor"/>
      </rPr>
      <t xml:space="preserve">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Avec un poids total de 16 kg, il est facile à manipuler lors de l'installation. 
</t>
    </r>
  </si>
  <si>
    <t xml:space="preserve">Armoire 3 portes battantes
Elle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Dotée de 3 portes battantes, l'armoire offre un aménagement intérieur astucieux avec deux tiers dédiés à la penderie et un tiers en lingère. 
Les étagères modulables permettent de ranger efficacement vos vêtements pliés.
 La structure en panneau de particules assure une robustesse et une durabilité optimales.
Avec une largeur de 133,5 cm, une hauteur de 191,5 cm et une profondeur de 51,4 cm, cette armoire est conçue pour optimiser l'espace de rangement tout en s'adaptant à des pièces de tailles variées. </t>
  </si>
  <si>
    <r>
      <rPr>
        <b/>
        <sz val="8"/>
        <color rgb="FF0070C0"/>
        <rFont val="Aptos Narrow"/>
        <family val="2"/>
        <scheme val="minor"/>
      </rPr>
      <t xml:space="preserve">Table basse de salon, multifonctionnelle
</t>
    </r>
    <r>
      <rPr>
        <sz val="8"/>
        <color theme="1"/>
        <rFont val="Aptos Narrow"/>
        <family val="2"/>
        <scheme val="minor"/>
      </rPr>
      <t xml:space="preserv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
</t>
    </r>
  </si>
  <si>
    <r>
      <rPr>
        <b/>
        <sz val="8"/>
        <color rgb="FF0070C0"/>
        <rFont val="Aptos Narrow"/>
        <family val="2"/>
        <scheme val="minor"/>
      </rPr>
      <t xml:space="preserve">Ensemble table rectangulaire 4 chaises 
</t>
    </r>
    <r>
      <rPr>
        <sz val="8"/>
        <color theme="1"/>
        <rFont val="Aptos Narrow"/>
        <family val="2"/>
        <scheme val="minor"/>
      </rPr>
      <t xml:space="preserve">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Le plateau de la table est en panneau de particules avec une finition mélaminée, offrant une surface résistante et facile à entretenir. 
Les chaises, quant à elles, sont dotées d'une assise et d'un dossier en tissu, procurant un confort optimal. 
Les dimensions ergonomiques des chaises, avec une hauteur d'assise de 46 cm et une profondeur de 54 cm, assurent un confort d'assise appréciable. 
Avec une hauteur de table de 75 cm et une épaisseur de plateau de 18 mm, cet ensemble allie solidité et élégance pour sublimer votre espace de vie.
Destiné à un usage intérieur, l'ensemble table et chaises TONY s'adresse aux foyers souhaitant optimiser leur espace tout en bénéficiant d'un mobilier au design contemporain. 
</t>
    </r>
  </si>
  <si>
    <r>
      <rPr>
        <b/>
        <sz val="8"/>
        <color rgb="FF0070C0"/>
        <rFont val="Aptos Narrow"/>
        <family val="2"/>
        <scheme val="minor"/>
      </rPr>
      <t>Desserte cuisine au d</t>
    </r>
    <r>
      <rPr>
        <sz val="8"/>
        <color theme="1"/>
        <rFont val="Aptos Narrow"/>
        <family val="2"/>
        <scheme val="minor"/>
      </rPr>
      <t xml:space="preserve">esign moderne.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Avec ses deux portes qui s'ouvrent sur un vaste espace de stockage, elle permet d'organiser efficacement vos ustensiles et provisions. 
Un atout majeur de ce meuble est son range-bouteilles latéral. 
Dotée de roulettes multidirectionnelles, elle se déplace aisément, offrant une flexibilité d'utilisation au quotidien. 
Cette mobilité est idéale pour ajuster la desserte en fonction de vos besoins, que ce soit pour cuisiner ou pour servir vos invités.
Destinée à un usage intérieur. 
Dimensions compactes (largeur de 75 cm, hauteur de 80,7 cm, profondeur de 40 cm) et un poids total de 20,9 kg.
</t>
    </r>
  </si>
  <si>
    <r>
      <rPr>
        <b/>
        <sz val="8"/>
        <color rgb="FF0070C0"/>
        <rFont val="Aptos Narrow"/>
        <family val="2"/>
        <scheme val="minor"/>
      </rPr>
      <t xml:space="preserve">Meuble TV 155 cm 
</t>
    </r>
    <r>
      <rPr>
        <sz val="8"/>
        <color theme="1"/>
        <rFont val="Aptos Narrow"/>
        <family val="2"/>
        <scheme val="minor"/>
      </rPr>
      <t xml:space="preserve">
Coloris chêne et noir qui  s'intègre parfaitement dans un intérieur au style industriel. 
Son design bicolore, associant le chêne jackson et le noir, apporte une touche de modernité et de sophistication à votre salon.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Avec une longueur de 155 cm, une largeur de 40 cm et une hauteur de 43 cm, le meuble TV offre un espace suffisant pour accueillir une grande télévision ainsi que d'autres équipements audiovisuels. Son poids total de 24 kg témoigne de sa solidité et de sa stabilité. </t>
    </r>
  </si>
  <si>
    <r>
      <rPr>
        <b/>
        <sz val="8"/>
        <color rgb="FF0070C0"/>
        <rFont val="Aptos Narrow"/>
        <family val="2"/>
        <scheme val="minor"/>
      </rPr>
      <t xml:space="preserve">Canapé droit convertible 3 places Tissu Gris
</t>
    </r>
    <r>
      <rPr>
        <sz val="8"/>
        <color theme="1"/>
        <rFont val="Aptos Narrow"/>
        <family val="2"/>
        <scheme val="minor"/>
      </rPr>
      <t xml:space="preserve">
Revêtement en tissu velours côtelé. Sa couleur grise neutre permet de l'associer facilement avec d'autres éléments de décoration, créant ainsi un espace de vie accueillant et chaleureux.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Avec ses dimensions généreuses de largeur 198 cm, hauteur 89 cm et profondeur 99 cm, le canapé s'adapte parfaitement aux espaces de vie modernes. Son coloris gris, à la fois sobre et élégant, s'harmonise avec une multitude de styles de décoration. </t>
    </r>
  </si>
  <si>
    <t>Vendu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</si>
</sst>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yyyy\-mm\-dd"/>
  </numFmts>
  <fonts count="6"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
      <sz val="8"/>
      <color theme="1"/>
      <name val="Aptos Narrow"/>
      <family val="2"/>
      <scheme val="minor"/>
    </font>
    <font>
      <b/>
      <sz val="8"/>
      <color rgb="FF0070C0"/>
      <name val="Aptos Narrow"/>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2" borderId="0" xfId="0" applyFill="1" applyAlignment="1">
      <alignment vertical="top"/>
    </xf>
    <xf numFmtId="0" fontId="0" fillId="2" borderId="7" xfId="0" applyFill="1" applyBorder="1" applyAlignment="1">
      <alignment vertical="top"/>
    </xf>
    <xf numFmtId="0" fontId="0" fillId="2" borderId="0" xfId="0" applyFill="1" applyAlignment="1">
      <alignment horizontal="center" vertical="top"/>
    </xf>
    <xf numFmtId="164" fontId="0" fillId="0" borderId="2" xfId="0" applyNumberFormat="1" applyBorder="1" applyAlignment="1">
      <alignment vertical="top"/>
    </xf>
    <xf numFmtId="9" fontId="0" fillId="0" borderId="6" xfId="0" quotePrefix="1" applyNumberFormat="1" applyBorder="1" applyAlignment="1">
      <alignment vertical="top"/>
    </xf>
    <xf numFmtId="0" fontId="4" fillId="2" borderId="0" xfId="0" applyFont="1" applyFill="1" applyAlignment="1">
      <alignment vertical="top"/>
    </xf>
    <xf numFmtId="49" fontId="0" fillId="0" borderId="0" xfId="0" quotePrefix="1" applyNumberFormat="1" applyAlignment="1">
      <alignment vertical="top"/>
    </xf>
    <xf numFmtId="0" fontId="2" fillId="0" borderId="7"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164" fontId="0" fillId="0" borderId="3" xfId="0" applyNumberFormat="1" applyBorder="1" applyAlignment="1">
      <alignment vertical="top"/>
    </xf>
    <xf numFmtId="164" fontId="0" fillId="0" borderId="7"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4" fillId="0" borderId="0" xfId="0" applyFont="1" applyAlignment="1">
      <alignment vertical="top" wrapText="1"/>
    </xf>
    <xf numFmtId="0" fontId="4" fillId="0" borderId="0" xfId="0" applyFont="1" applyAlignment="1">
      <alignment vertical="top"/>
    </xf>
    <xf numFmtId="0" fontId="0" fillId="0" borderId="1" xfId="0" applyBorder="1" applyAlignment="1">
      <alignment vertical="top"/>
    </xf>
    <xf numFmtId="0" fontId="0" fillId="0" borderId="5" xfId="0" applyBorder="1" applyAlignment="1">
      <alignment horizontal="center" vertical="top"/>
    </xf>
    <xf numFmtId="2" fontId="0" fillId="0" borderId="5" xfId="0" applyNumberFormat="1" applyBorder="1" applyAlignment="1">
      <alignment horizontal="center" vertical="top"/>
    </xf>
    <xf numFmtId="164" fontId="0" fillId="0" borderId="4"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165" fontId="0" fillId="2" borderId="0" xfId="0" applyNumberFormat="1" applyFill="1" applyAlignment="1">
      <alignment horizontal="center" vertical="top"/>
    </xf>
    <xf numFmtId="165" fontId="0" fillId="0" borderId="0" xfId="0" applyNumberFormat="1" applyAlignment="1">
      <alignment horizontal="center" vertical="top"/>
    </xf>
    <xf numFmtId="165" fontId="0" fillId="0" borderId="5" xfId="0" applyNumberFormat="1" applyBorder="1" applyAlignment="1">
      <alignment horizontal="center" vertical="top"/>
    </xf>
    <xf numFmtId="0" fontId="0" fillId="2" borderId="0" xfId="0" applyFill="1" applyAlignment="1">
      <alignment vertical="top" wrapText="1"/>
    </xf>
    <xf numFmtId="0" fontId="0" fillId="0" borderId="0" xfId="0"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but.fr/produits/2099901444592/Vestiaire-d-entree-ARNOLD-Noir.html"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conforama.fr/chambre-literie/chambre-adulte/lit-adulte/lit-adulte-140x190-cm-watson/p/763891" TargetMode="External"/><Relationship Id="rId5" Type="http://schemas.openxmlformats.org/officeDocument/2006/relationships/hyperlink" Target="https://www.conforama.fr/enfant-bebe/decoration-chambre-enfant/bureau-enfant/bureau-110-cm-lugano/p/783297" TargetMode="External"/><Relationship Id="rId15" Type="http://schemas.openxmlformats.org/officeDocument/2006/relationships/printerSettings" Target="../printerSettings/printerSettings1.bin"/><Relationship Id="rId10" Type="http://schemas.openxmlformats.org/officeDocument/2006/relationships/hyperlink" Target="https://www.conforama.fr/cuisine-salle-de-bain/meuble-de-cuisine/meuble-micro-ondes-et-desserte/desserte-fumay-2/p/750063"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bureau-rangement/bureau/fauteuil-de-bureau/fauteuil-de-bureau-chaise-gaming-reglable-repose-pieds-telescopique-mecanisme-a-bascule-appui-tete-support-lombaire-charge-150-kg-noir-d-encre/p/Q60937965" TargetMode="External"/><Relationship Id="rId14" Type="http://schemas.openxmlformats.org/officeDocument/2006/relationships/hyperlink" Target="https://www.but.fr/produits/4894223218450/Table-basse-plateau-relevable-VINCENTE-Imitation-chene-noir.html?searchTerm=(autocompl%C3%A9tion)&amp;searchCategory=Recherche%20assist%C3%A9e%20Prod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T38"/>
  <sheetViews>
    <sheetView tabSelected="1" zoomScale="70" zoomScaleNormal="70" workbookViewId="0">
      <pane ySplit="1" topLeftCell="A12" activePane="bottomLeft" state="frozen"/>
      <selection pane="bottomLeft" activeCell="P15" sqref="P15"/>
    </sheetView>
  </sheetViews>
  <sheetFormatPr baseColWidth="10" defaultColWidth="10.73046875" defaultRowHeight="14.25" x14ac:dyDescent="0.45"/>
  <cols>
    <col min="1" max="2" width="10.73046875" style="14"/>
    <col min="3" max="3" width="22.265625" style="14" bestFit="1" customWidth="1"/>
    <col min="4" max="4" width="4.73046875" style="9" bestFit="1" customWidth="1"/>
    <col min="5" max="5" width="4.1328125" style="9" bestFit="1" customWidth="1"/>
    <col min="6" max="6" width="4.73046875" style="9" bestFit="1" customWidth="1"/>
    <col min="7" max="7" width="5.3984375" style="9" bestFit="1" customWidth="1"/>
    <col min="8" max="8" width="11.1328125" style="9" bestFit="1" customWidth="1"/>
    <col min="9" max="9" width="10.796875" style="24" bestFit="1" customWidth="1"/>
    <col min="10" max="10" width="10.59765625" style="13"/>
    <col min="11" max="17" width="10.73046875" style="14"/>
    <col min="18" max="18" width="65.73046875" style="16" customWidth="1"/>
    <col min="19" max="19" width="13.33203125" style="27" bestFit="1" customWidth="1"/>
    <col min="20" max="20" width="13.9296875" style="27" customWidth="1"/>
    <col min="21" max="16384" width="10.73046875" style="14"/>
  </cols>
  <sheetData>
    <row r="1" spans="1:20" s="1" customFormat="1" ht="15.75" x14ac:dyDescent="0.45">
      <c r="A1" s="1" t="s">
        <v>15</v>
      </c>
      <c r="B1" s="1" t="s">
        <v>30</v>
      </c>
      <c r="C1" s="2" t="s">
        <v>46</v>
      </c>
      <c r="D1" s="3" t="s">
        <v>8</v>
      </c>
      <c r="E1" s="3" t="s">
        <v>7</v>
      </c>
      <c r="F1" s="3" t="s">
        <v>6</v>
      </c>
      <c r="G1" s="3" t="s">
        <v>9</v>
      </c>
      <c r="H1" s="3" t="s">
        <v>36</v>
      </c>
      <c r="I1" s="23" t="s">
        <v>44</v>
      </c>
      <c r="J1" s="4" t="s">
        <v>13</v>
      </c>
      <c r="K1" s="1" t="s">
        <v>40</v>
      </c>
      <c r="L1" s="5">
        <f>-30%</f>
        <v>-0.3</v>
      </c>
      <c r="M1" s="5">
        <v>-0.4</v>
      </c>
      <c r="N1" s="5">
        <v>-0.5</v>
      </c>
      <c r="O1" s="5">
        <v>-0.6</v>
      </c>
      <c r="P1" s="1" t="s">
        <v>41</v>
      </c>
      <c r="Q1" s="1" t="s">
        <v>42</v>
      </c>
      <c r="R1" s="6" t="s">
        <v>45</v>
      </c>
      <c r="S1" s="26" t="s">
        <v>47</v>
      </c>
      <c r="T1" s="26" t="s">
        <v>48</v>
      </c>
    </row>
    <row r="2" spans="1:20" ht="147" x14ac:dyDescent="0.45">
      <c r="A2" s="7" t="s">
        <v>16</v>
      </c>
      <c r="B2" s="7" t="s">
        <v>31</v>
      </c>
      <c r="C2" s="8" t="s">
        <v>72</v>
      </c>
      <c r="D2" s="9">
        <v>99</v>
      </c>
      <c r="E2" s="9">
        <v>198</v>
      </c>
      <c r="F2" s="9">
        <v>89</v>
      </c>
      <c r="G2" s="10">
        <f t="shared" ref="G2:G14" si="0">(F2*E2*D2)/1000000</f>
        <v>1.744578</v>
      </c>
      <c r="H2" s="10" t="s">
        <v>37</v>
      </c>
      <c r="I2" s="24">
        <v>46054.000983796293</v>
      </c>
      <c r="J2" s="11">
        <v>900</v>
      </c>
      <c r="K2" s="13">
        <f t="shared" ref="K2:K35" si="1">L2</f>
        <v>630</v>
      </c>
      <c r="L2" s="12">
        <f t="shared" ref="L2:O15" si="2">$J2*(100%+L$1)</f>
        <v>630</v>
      </c>
      <c r="M2" s="12">
        <f t="shared" si="2"/>
        <v>540</v>
      </c>
      <c r="N2" s="12">
        <f t="shared" si="2"/>
        <v>450</v>
      </c>
      <c r="O2" s="12">
        <f t="shared" si="2"/>
        <v>360</v>
      </c>
      <c r="P2" s="14" t="s">
        <v>43</v>
      </c>
      <c r="Q2" s="14">
        <v>14</v>
      </c>
      <c r="R2" s="15" t="s">
        <v>87</v>
      </c>
      <c r="S2" s="27" t="s">
        <v>49</v>
      </c>
      <c r="T2" s="27" t="s">
        <v>55</v>
      </c>
    </row>
    <row r="3" spans="1:20" ht="105" x14ac:dyDescent="0.45">
      <c r="A3" s="7" t="s">
        <v>17</v>
      </c>
      <c r="B3" s="7" t="s">
        <v>31</v>
      </c>
      <c r="C3" s="8" t="s">
        <v>0</v>
      </c>
      <c r="D3" s="9">
        <v>100</v>
      </c>
      <c r="E3" s="9">
        <v>60</v>
      </c>
      <c r="F3" s="9">
        <v>45</v>
      </c>
      <c r="G3" s="10">
        <f t="shared" si="0"/>
        <v>0.27</v>
      </c>
      <c r="H3" s="10" t="s">
        <v>37</v>
      </c>
      <c r="I3" s="24">
        <v>46054.000983796293</v>
      </c>
      <c r="J3" s="11">
        <v>150</v>
      </c>
      <c r="K3" s="13">
        <f t="shared" si="1"/>
        <v>105</v>
      </c>
      <c r="L3" s="12">
        <f t="shared" si="2"/>
        <v>105</v>
      </c>
      <c r="M3" s="12">
        <f t="shared" si="2"/>
        <v>90</v>
      </c>
      <c r="N3" s="12">
        <f t="shared" si="2"/>
        <v>75</v>
      </c>
      <c r="O3" s="12">
        <f t="shared" si="2"/>
        <v>60</v>
      </c>
      <c r="P3" s="14" t="s">
        <v>43</v>
      </c>
      <c r="Q3" s="14">
        <v>5</v>
      </c>
      <c r="R3" s="15" t="s">
        <v>83</v>
      </c>
      <c r="S3" s="27" t="s">
        <v>50</v>
      </c>
      <c r="T3" s="27" t="s">
        <v>51</v>
      </c>
    </row>
    <row r="4" spans="1:20" ht="168" x14ac:dyDescent="0.45">
      <c r="A4" s="7" t="s">
        <v>18</v>
      </c>
      <c r="B4" s="7" t="s">
        <v>31</v>
      </c>
      <c r="C4" s="8" t="s">
        <v>1</v>
      </c>
      <c r="D4" s="9">
        <v>155</v>
      </c>
      <c r="E4" s="9">
        <v>40</v>
      </c>
      <c r="F4" s="9">
        <v>43</v>
      </c>
      <c r="G4" s="10">
        <f>(F4*E4*D4)/1000000</f>
        <v>0.2666</v>
      </c>
      <c r="H4" s="10" t="s">
        <v>37</v>
      </c>
      <c r="I4" s="24">
        <v>46054.000983796293</v>
      </c>
      <c r="J4" s="11">
        <v>100</v>
      </c>
      <c r="K4" s="13">
        <f t="shared" si="1"/>
        <v>70</v>
      </c>
      <c r="L4" s="12">
        <f t="shared" si="2"/>
        <v>70</v>
      </c>
      <c r="M4" s="12">
        <f t="shared" si="2"/>
        <v>60</v>
      </c>
      <c r="N4" s="12">
        <f t="shared" si="2"/>
        <v>50</v>
      </c>
      <c r="O4" s="12">
        <f t="shared" si="2"/>
        <v>40</v>
      </c>
      <c r="P4" s="14" t="s">
        <v>43</v>
      </c>
      <c r="Q4" s="14">
        <v>6</v>
      </c>
      <c r="R4" s="15" t="s">
        <v>86</v>
      </c>
      <c r="S4" s="27" t="s">
        <v>52</v>
      </c>
      <c r="T4" s="27" t="s">
        <v>53</v>
      </c>
    </row>
    <row r="5" spans="1:20" ht="210" x14ac:dyDescent="0.45">
      <c r="A5" s="7" t="s">
        <v>19</v>
      </c>
      <c r="B5" s="7" t="s">
        <v>32</v>
      </c>
      <c r="C5" s="8" t="s">
        <v>68</v>
      </c>
      <c r="D5" s="9">
        <v>120</v>
      </c>
      <c r="E5" s="9">
        <v>80</v>
      </c>
      <c r="F5" s="9">
        <v>75</v>
      </c>
      <c r="G5" s="10">
        <f t="shared" si="0"/>
        <v>0.72</v>
      </c>
      <c r="H5" s="10" t="s">
        <v>37</v>
      </c>
      <c r="I5" s="24">
        <v>46054.000983796293</v>
      </c>
      <c r="J5" s="11">
        <v>400</v>
      </c>
      <c r="K5" s="13">
        <f t="shared" si="1"/>
        <v>280</v>
      </c>
      <c r="L5" s="12">
        <f t="shared" si="2"/>
        <v>280</v>
      </c>
      <c r="M5" s="12">
        <f t="shared" si="2"/>
        <v>240</v>
      </c>
      <c r="N5" s="12">
        <f t="shared" si="2"/>
        <v>200</v>
      </c>
      <c r="O5" s="12">
        <f t="shared" si="2"/>
        <v>160</v>
      </c>
      <c r="P5" s="14" t="s">
        <v>43</v>
      </c>
      <c r="Q5" s="14">
        <v>7</v>
      </c>
      <c r="R5" s="15" t="s">
        <v>84</v>
      </c>
      <c r="S5" s="27" t="s">
        <v>54</v>
      </c>
      <c r="T5" s="27" t="s">
        <v>51</v>
      </c>
    </row>
    <row r="6" spans="1:20" ht="210" x14ac:dyDescent="0.45">
      <c r="A6" s="7" t="s">
        <v>20</v>
      </c>
      <c r="B6" s="7" t="s">
        <v>32</v>
      </c>
      <c r="C6" s="8" t="s">
        <v>12</v>
      </c>
      <c r="D6" s="9">
        <v>40</v>
      </c>
      <c r="E6" s="9">
        <v>75</v>
      </c>
      <c r="F6" s="9">
        <v>81</v>
      </c>
      <c r="G6" s="10">
        <f t="shared" si="0"/>
        <v>0.24299999999999999</v>
      </c>
      <c r="H6" s="10" t="s">
        <v>38</v>
      </c>
      <c r="I6" s="24">
        <v>45901.000983796293</v>
      </c>
      <c r="J6" s="11">
        <v>90</v>
      </c>
      <c r="K6" s="13">
        <f t="shared" si="1"/>
        <v>62.999999999999993</v>
      </c>
      <c r="L6" s="12">
        <f t="shared" si="2"/>
        <v>62.999999999999993</v>
      </c>
      <c r="M6" s="12">
        <f t="shared" si="2"/>
        <v>54</v>
      </c>
      <c r="N6" s="12">
        <f t="shared" si="2"/>
        <v>45</v>
      </c>
      <c r="O6" s="12">
        <f t="shared" si="2"/>
        <v>36</v>
      </c>
      <c r="P6" s="14" t="s">
        <v>43</v>
      </c>
      <c r="Q6" s="14">
        <v>9</v>
      </c>
      <c r="R6" s="15" t="s">
        <v>85</v>
      </c>
      <c r="S6" s="27" t="s">
        <v>56</v>
      </c>
      <c r="T6" s="27" t="s">
        <v>57</v>
      </c>
    </row>
    <row r="7" spans="1:20" ht="199.5" x14ac:dyDescent="0.45">
      <c r="A7" s="7" t="s">
        <v>21</v>
      </c>
      <c r="B7" s="7" t="s">
        <v>2</v>
      </c>
      <c r="C7" s="8" t="s">
        <v>2</v>
      </c>
      <c r="D7" s="9">
        <v>110</v>
      </c>
      <c r="E7" s="9">
        <v>55</v>
      </c>
      <c r="F7" s="9">
        <v>77</v>
      </c>
      <c r="G7" s="10">
        <f t="shared" si="0"/>
        <v>0.46584999999999999</v>
      </c>
      <c r="H7" s="10" t="s">
        <v>37</v>
      </c>
      <c r="I7" s="24">
        <v>46054.000983796293</v>
      </c>
      <c r="J7" s="11">
        <v>200</v>
      </c>
      <c r="K7" s="13">
        <f t="shared" si="1"/>
        <v>140</v>
      </c>
      <c r="L7" s="12">
        <f t="shared" si="2"/>
        <v>140</v>
      </c>
      <c r="M7" s="12">
        <f t="shared" si="2"/>
        <v>120</v>
      </c>
      <c r="N7" s="12">
        <f t="shared" si="2"/>
        <v>100</v>
      </c>
      <c r="O7" s="12">
        <f t="shared" si="2"/>
        <v>80</v>
      </c>
      <c r="P7" s="14" t="s">
        <v>43</v>
      </c>
      <c r="Q7" s="14">
        <v>6</v>
      </c>
      <c r="R7" s="15" t="s">
        <v>76</v>
      </c>
      <c r="S7" s="27" t="s">
        <v>58</v>
      </c>
      <c r="T7" s="27" t="s">
        <v>57</v>
      </c>
    </row>
    <row r="8" spans="1:20" ht="315" x14ac:dyDescent="0.45">
      <c r="A8" s="7" t="s">
        <v>22</v>
      </c>
      <c r="B8" s="7" t="s">
        <v>2</v>
      </c>
      <c r="C8" s="8" t="s">
        <v>10</v>
      </c>
      <c r="D8" s="9">
        <v>67</v>
      </c>
      <c r="E8" s="9">
        <v>66</v>
      </c>
      <c r="F8" s="9">
        <v>57</v>
      </c>
      <c r="G8" s="10">
        <f t="shared" si="0"/>
        <v>0.252054</v>
      </c>
      <c r="H8" s="10" t="s">
        <v>38</v>
      </c>
      <c r="I8" s="24">
        <v>46054.000983796293</v>
      </c>
      <c r="J8" s="11">
        <v>130</v>
      </c>
      <c r="K8" s="13">
        <f t="shared" si="1"/>
        <v>91</v>
      </c>
      <c r="L8" s="12">
        <f t="shared" si="2"/>
        <v>91</v>
      </c>
      <c r="M8" s="12">
        <f t="shared" si="2"/>
        <v>78</v>
      </c>
      <c r="N8" s="12">
        <f t="shared" si="2"/>
        <v>65</v>
      </c>
      <c r="O8" s="12">
        <f t="shared" si="2"/>
        <v>52</v>
      </c>
      <c r="P8" s="14" t="s">
        <v>88</v>
      </c>
      <c r="Q8" s="14">
        <v>5</v>
      </c>
      <c r="R8" s="15" t="s">
        <v>77</v>
      </c>
      <c r="S8" s="27" t="s">
        <v>59</v>
      </c>
      <c r="T8" s="27" t="s">
        <v>60</v>
      </c>
    </row>
    <row r="9" spans="1:20" ht="147" x14ac:dyDescent="0.45">
      <c r="A9" s="7" t="s">
        <v>23</v>
      </c>
      <c r="B9" s="7" t="s">
        <v>33</v>
      </c>
      <c r="C9" s="8" t="s">
        <v>3</v>
      </c>
      <c r="D9" s="9">
        <v>195</v>
      </c>
      <c r="E9" s="9">
        <v>149</v>
      </c>
      <c r="F9" s="9">
        <v>72</v>
      </c>
      <c r="G9" s="10">
        <f t="shared" si="0"/>
        <v>2.0919599999999998</v>
      </c>
      <c r="H9" s="10" t="s">
        <v>39</v>
      </c>
      <c r="I9" s="24">
        <v>46054.000983796293</v>
      </c>
      <c r="J9" s="11">
        <v>100</v>
      </c>
      <c r="K9" s="13">
        <f t="shared" si="1"/>
        <v>70</v>
      </c>
      <c r="L9" s="12">
        <f t="shared" si="2"/>
        <v>70</v>
      </c>
      <c r="M9" s="12">
        <f t="shared" si="2"/>
        <v>60</v>
      </c>
      <c r="N9" s="12">
        <f t="shared" si="2"/>
        <v>50</v>
      </c>
      <c r="O9" s="12">
        <f t="shared" si="2"/>
        <v>40</v>
      </c>
      <c r="P9" s="14" t="s">
        <v>73</v>
      </c>
      <c r="Q9" s="14">
        <v>9</v>
      </c>
      <c r="R9" s="15" t="s">
        <v>78</v>
      </c>
      <c r="S9" s="27" t="s">
        <v>61</v>
      </c>
      <c r="T9" s="27" t="s">
        <v>57</v>
      </c>
    </row>
    <row r="10" spans="1:20" ht="168" x14ac:dyDescent="0.45">
      <c r="A10" s="7" t="s">
        <v>24</v>
      </c>
      <c r="B10" s="7" t="s">
        <v>33</v>
      </c>
      <c r="C10" s="8" t="s">
        <v>69</v>
      </c>
      <c r="D10" s="9">
        <v>35</v>
      </c>
      <c r="E10" s="9">
        <v>40</v>
      </c>
      <c r="F10" s="9">
        <v>32</v>
      </c>
      <c r="G10" s="10">
        <f t="shared" si="0"/>
        <v>4.48E-2</v>
      </c>
      <c r="H10" s="10" t="s">
        <v>37</v>
      </c>
      <c r="I10" s="24">
        <v>46054.000983796293</v>
      </c>
      <c r="J10" s="11">
        <v>70</v>
      </c>
      <c r="K10" s="13">
        <f t="shared" si="1"/>
        <v>49</v>
      </c>
      <c r="L10" s="12">
        <f t="shared" si="2"/>
        <v>49</v>
      </c>
      <c r="M10" s="12">
        <f t="shared" si="2"/>
        <v>42</v>
      </c>
      <c r="N10" s="12">
        <f t="shared" si="2"/>
        <v>35</v>
      </c>
      <c r="O10" s="12">
        <f t="shared" si="2"/>
        <v>28</v>
      </c>
      <c r="P10" s="14" t="s">
        <v>73</v>
      </c>
      <c r="Q10" s="14">
        <v>7</v>
      </c>
      <c r="R10" s="15" t="s">
        <v>79</v>
      </c>
      <c r="S10" s="27" t="s">
        <v>61</v>
      </c>
      <c r="T10" s="27" t="s">
        <v>57</v>
      </c>
    </row>
    <row r="11" spans="1:20" ht="189" x14ac:dyDescent="0.45">
      <c r="A11" s="7" t="s">
        <v>25</v>
      </c>
      <c r="B11" s="7" t="s">
        <v>33</v>
      </c>
      <c r="C11" s="8" t="s">
        <v>5</v>
      </c>
      <c r="D11" s="9">
        <v>190</v>
      </c>
      <c r="E11" s="9">
        <v>140</v>
      </c>
      <c r="F11" s="9">
        <v>21</v>
      </c>
      <c r="G11" s="10">
        <f t="shared" si="0"/>
        <v>0.55859999999999999</v>
      </c>
      <c r="H11" s="10" t="s">
        <v>39</v>
      </c>
      <c r="I11" s="24">
        <v>46054.000983796293</v>
      </c>
      <c r="J11" s="11">
        <v>300</v>
      </c>
      <c r="K11" s="13">
        <f t="shared" si="1"/>
        <v>210</v>
      </c>
      <c r="L11" s="12">
        <f t="shared" si="2"/>
        <v>210</v>
      </c>
      <c r="M11" s="12">
        <f t="shared" si="2"/>
        <v>180</v>
      </c>
      <c r="N11" s="12">
        <f t="shared" si="2"/>
        <v>150</v>
      </c>
      <c r="O11" s="12">
        <f t="shared" si="2"/>
        <v>120</v>
      </c>
      <c r="P11" s="14" t="s">
        <v>73</v>
      </c>
      <c r="Q11" s="14">
        <v>7</v>
      </c>
      <c r="R11" s="15" t="s">
        <v>80</v>
      </c>
      <c r="S11" s="27" t="s">
        <v>63</v>
      </c>
      <c r="T11" s="27" t="s">
        <v>62</v>
      </c>
    </row>
    <row r="12" spans="1:20" ht="178.5" x14ac:dyDescent="0.45">
      <c r="A12" s="7" t="s">
        <v>26</v>
      </c>
      <c r="B12" s="7" t="s">
        <v>33</v>
      </c>
      <c r="C12" s="8" t="s">
        <v>11</v>
      </c>
      <c r="D12" s="9">
        <v>190</v>
      </c>
      <c r="E12" s="9">
        <v>140</v>
      </c>
      <c r="F12" s="9">
        <v>5</v>
      </c>
      <c r="G12" s="10">
        <f t="shared" si="0"/>
        <v>0.13300000000000001</v>
      </c>
      <c r="H12" s="10" t="s">
        <v>37</v>
      </c>
      <c r="I12" s="24">
        <v>46054.000983796293</v>
      </c>
      <c r="J12" s="11">
        <v>140</v>
      </c>
      <c r="K12" s="13">
        <f t="shared" si="1"/>
        <v>98</v>
      </c>
      <c r="L12" s="12">
        <f t="shared" si="2"/>
        <v>98</v>
      </c>
      <c r="M12" s="12">
        <f t="shared" si="2"/>
        <v>84</v>
      </c>
      <c r="N12" s="12">
        <f t="shared" si="2"/>
        <v>70</v>
      </c>
      <c r="O12" s="12">
        <f t="shared" si="2"/>
        <v>56</v>
      </c>
      <c r="P12" s="14" t="s">
        <v>43</v>
      </c>
      <c r="Q12" s="14">
        <v>1</v>
      </c>
      <c r="R12" s="15" t="s">
        <v>81</v>
      </c>
      <c r="S12" s="27" t="s">
        <v>49</v>
      </c>
      <c r="T12" s="27" t="s">
        <v>64</v>
      </c>
    </row>
    <row r="13" spans="1:20" ht="168" x14ac:dyDescent="0.45">
      <c r="A13" s="7" t="s">
        <v>27</v>
      </c>
      <c r="B13" s="7" t="s">
        <v>33</v>
      </c>
      <c r="C13" s="8" t="s">
        <v>70</v>
      </c>
      <c r="D13" s="9">
        <v>52</v>
      </c>
      <c r="E13" s="9">
        <v>134</v>
      </c>
      <c r="F13" s="9">
        <v>192</v>
      </c>
      <c r="G13" s="10">
        <f t="shared" si="0"/>
        <v>1.3378559999999999</v>
      </c>
      <c r="H13" s="10" t="s">
        <v>37</v>
      </c>
      <c r="I13" s="24">
        <v>46054.000983796293</v>
      </c>
      <c r="J13" s="11">
        <v>250</v>
      </c>
      <c r="K13" s="13">
        <f t="shared" si="1"/>
        <v>175</v>
      </c>
      <c r="L13" s="12">
        <f t="shared" si="2"/>
        <v>175</v>
      </c>
      <c r="M13" s="12">
        <f t="shared" si="2"/>
        <v>150</v>
      </c>
      <c r="N13" s="12">
        <f t="shared" si="2"/>
        <v>125</v>
      </c>
      <c r="O13" s="12">
        <f t="shared" si="2"/>
        <v>100</v>
      </c>
      <c r="P13" s="14" t="s">
        <v>43</v>
      </c>
      <c r="Q13" s="14">
        <v>8</v>
      </c>
      <c r="R13" s="15" t="s">
        <v>82</v>
      </c>
      <c r="S13" s="27" t="s">
        <v>61</v>
      </c>
      <c r="T13" s="27" t="s">
        <v>57</v>
      </c>
    </row>
    <row r="14" spans="1:20" ht="94.5" x14ac:dyDescent="0.45">
      <c r="A14" s="7" t="s">
        <v>28</v>
      </c>
      <c r="B14" s="7" t="s">
        <v>34</v>
      </c>
      <c r="C14" s="8" t="s">
        <v>4</v>
      </c>
      <c r="D14" s="9">
        <v>70</v>
      </c>
      <c r="E14" s="9">
        <v>33</v>
      </c>
      <c r="F14" s="9">
        <v>180</v>
      </c>
      <c r="G14" s="10">
        <f t="shared" si="0"/>
        <v>0.4158</v>
      </c>
      <c r="H14" s="10" t="s">
        <v>37</v>
      </c>
      <c r="I14" s="24">
        <v>46054.000983796293</v>
      </c>
      <c r="J14" s="11">
        <v>56</v>
      </c>
      <c r="K14" s="13">
        <f t="shared" si="1"/>
        <v>39.199999999999996</v>
      </c>
      <c r="L14" s="12">
        <f t="shared" si="2"/>
        <v>39.199999999999996</v>
      </c>
      <c r="M14" s="12">
        <f t="shared" si="2"/>
        <v>33.6</v>
      </c>
      <c r="N14" s="12">
        <f t="shared" si="2"/>
        <v>28</v>
      </c>
      <c r="O14" s="12">
        <f t="shared" si="2"/>
        <v>22.400000000000002</v>
      </c>
      <c r="P14" s="14" t="s">
        <v>43</v>
      </c>
      <c r="Q14" s="14">
        <v>4</v>
      </c>
      <c r="R14" s="15" t="s">
        <v>74</v>
      </c>
      <c r="S14" s="27" t="s">
        <v>65</v>
      </c>
      <c r="T14" s="27" t="s">
        <v>53</v>
      </c>
    </row>
    <row r="15" spans="1:20" ht="168" x14ac:dyDescent="0.45">
      <c r="A15" s="7" t="s">
        <v>29</v>
      </c>
      <c r="B15" s="7" t="s">
        <v>35</v>
      </c>
      <c r="C15" s="8" t="s">
        <v>71</v>
      </c>
      <c r="G15" s="10"/>
      <c r="H15" s="10" t="s">
        <v>37</v>
      </c>
      <c r="I15" s="24">
        <v>46054.000983796293</v>
      </c>
      <c r="J15" s="11">
        <v>55</v>
      </c>
      <c r="K15" s="13">
        <f t="shared" si="1"/>
        <v>38.5</v>
      </c>
      <c r="L15" s="12">
        <f t="shared" si="2"/>
        <v>38.5</v>
      </c>
      <c r="M15" s="12">
        <f t="shared" si="2"/>
        <v>33</v>
      </c>
      <c r="N15" s="12">
        <f t="shared" si="2"/>
        <v>27.5</v>
      </c>
      <c r="O15" s="12">
        <f t="shared" si="2"/>
        <v>22</v>
      </c>
      <c r="P15" s="14" t="s">
        <v>73</v>
      </c>
      <c r="Q15" s="14">
        <v>6</v>
      </c>
      <c r="R15" s="15" t="s">
        <v>75</v>
      </c>
      <c r="S15" s="27" t="s">
        <v>66</v>
      </c>
      <c r="T15" s="27" t="s">
        <v>67</v>
      </c>
    </row>
    <row r="16" spans="1:20" x14ac:dyDescent="0.45">
      <c r="C16" s="17"/>
      <c r="D16" s="18"/>
      <c r="E16" s="18"/>
      <c r="F16" s="18"/>
      <c r="G16" s="19">
        <f>SUM(G2:G14)</f>
        <v>8.5440980000000017</v>
      </c>
      <c r="H16" s="19"/>
      <c r="I16" s="25"/>
      <c r="J16" s="20">
        <f>SUM(J2:J15)</f>
        <v>2941</v>
      </c>
      <c r="K16" s="13">
        <f t="shared" si="1"/>
        <v>2058.6999999999998</v>
      </c>
      <c r="L16" s="21">
        <f>SUM(L2:L15)</f>
        <v>2058.6999999999998</v>
      </c>
      <c r="M16" s="21">
        <f>SUM(M2:M15)</f>
        <v>1764.6</v>
      </c>
      <c r="N16" s="21">
        <f>SUM(N2:N15)</f>
        <v>1470.5</v>
      </c>
      <c r="O16" s="21">
        <f>SUM(O2:O15)</f>
        <v>1176.4000000000001</v>
      </c>
    </row>
    <row r="17" spans="3:15" hidden="1" x14ac:dyDescent="0.45">
      <c r="C17" s="22" t="s">
        <v>14</v>
      </c>
      <c r="J17" s="13">
        <v>100</v>
      </c>
      <c r="K17" s="13">
        <f t="shared" si="1"/>
        <v>0</v>
      </c>
    </row>
    <row r="18" spans="3:15" hidden="1" x14ac:dyDescent="0.45">
      <c r="J18" s="13" t="e">
        <f>+$J$17*(#REF!-1)</f>
        <v>#REF!</v>
      </c>
      <c r="K18" s="13" t="e">
        <f t="shared" si="1"/>
        <v>#REF!</v>
      </c>
      <c r="L18" s="13" t="e">
        <f t="shared" ref="L18:O29" si="3">L$16-$J18</f>
        <v>#REF!</v>
      </c>
      <c r="M18" s="13" t="e">
        <f t="shared" si="3"/>
        <v>#REF!</v>
      </c>
      <c r="N18" s="13" t="e">
        <f t="shared" si="3"/>
        <v>#REF!</v>
      </c>
      <c r="O18" s="13" t="e">
        <f t="shared" si="3"/>
        <v>#REF!</v>
      </c>
    </row>
    <row r="19" spans="3:15" hidden="1" x14ac:dyDescent="0.45">
      <c r="J19" s="13" t="e">
        <f>+$J$17*(#REF!-1)</f>
        <v>#REF!</v>
      </c>
      <c r="K19" s="13" t="e">
        <f t="shared" si="1"/>
        <v>#REF!</v>
      </c>
      <c r="L19" s="13" t="e">
        <f t="shared" si="3"/>
        <v>#REF!</v>
      </c>
      <c r="M19" s="13" t="e">
        <f t="shared" si="3"/>
        <v>#REF!</v>
      </c>
      <c r="N19" s="13" t="e">
        <f t="shared" si="3"/>
        <v>#REF!</v>
      </c>
      <c r="O19" s="13" t="e">
        <f t="shared" si="3"/>
        <v>#REF!</v>
      </c>
    </row>
    <row r="20" spans="3:15" hidden="1" x14ac:dyDescent="0.45">
      <c r="J20" s="13" t="e">
        <f>+$J$17*(#REF!-1)</f>
        <v>#REF!</v>
      </c>
      <c r="K20" s="13" t="e">
        <f t="shared" si="1"/>
        <v>#REF!</v>
      </c>
      <c r="L20" s="13" t="e">
        <f t="shared" si="3"/>
        <v>#REF!</v>
      </c>
      <c r="M20" s="13" t="e">
        <f t="shared" si="3"/>
        <v>#REF!</v>
      </c>
      <c r="N20" s="13" t="e">
        <f t="shared" si="3"/>
        <v>#REF!</v>
      </c>
      <c r="O20" s="13" t="e">
        <f t="shared" si="3"/>
        <v>#REF!</v>
      </c>
    </row>
    <row r="21" spans="3:15" hidden="1" x14ac:dyDescent="0.45">
      <c r="J21" s="13" t="e">
        <f>+$J$17*(#REF!-1)</f>
        <v>#REF!</v>
      </c>
      <c r="K21" s="13" t="e">
        <f t="shared" si="1"/>
        <v>#REF!</v>
      </c>
      <c r="L21" s="13" t="e">
        <f t="shared" si="3"/>
        <v>#REF!</v>
      </c>
      <c r="M21" s="13" t="e">
        <f t="shared" si="3"/>
        <v>#REF!</v>
      </c>
      <c r="N21" s="13" t="e">
        <f t="shared" si="3"/>
        <v>#REF!</v>
      </c>
      <c r="O21" s="13" t="e">
        <f t="shared" si="3"/>
        <v>#REF!</v>
      </c>
    </row>
    <row r="22" spans="3:15" hidden="1" x14ac:dyDescent="0.45">
      <c r="J22" s="13" t="e">
        <f>+$J$17*(#REF!-1)</f>
        <v>#REF!</v>
      </c>
      <c r="K22" s="13" t="e">
        <f t="shared" si="1"/>
        <v>#REF!</v>
      </c>
      <c r="L22" s="13" t="e">
        <f t="shared" si="3"/>
        <v>#REF!</v>
      </c>
      <c r="M22" s="13" t="e">
        <f t="shared" si="3"/>
        <v>#REF!</v>
      </c>
      <c r="N22" s="13" t="e">
        <f t="shared" si="3"/>
        <v>#REF!</v>
      </c>
      <c r="O22" s="13" t="e">
        <f t="shared" si="3"/>
        <v>#REF!</v>
      </c>
    </row>
    <row r="23" spans="3:15" hidden="1" x14ac:dyDescent="0.45">
      <c r="J23" s="13" t="e">
        <f>+$J$17*(#REF!-1)</f>
        <v>#REF!</v>
      </c>
      <c r="K23" s="13" t="e">
        <f t="shared" si="1"/>
        <v>#REF!</v>
      </c>
      <c r="L23" s="13" t="e">
        <f t="shared" si="3"/>
        <v>#REF!</v>
      </c>
      <c r="M23" s="13" t="e">
        <f t="shared" si="3"/>
        <v>#REF!</v>
      </c>
      <c r="N23" s="13" t="e">
        <f t="shared" si="3"/>
        <v>#REF!</v>
      </c>
      <c r="O23" s="13" t="e">
        <f t="shared" si="3"/>
        <v>#REF!</v>
      </c>
    </row>
    <row r="24" spans="3:15" hidden="1" x14ac:dyDescent="0.45">
      <c r="J24" s="13" t="e">
        <f>+$J$17*(#REF!-1)</f>
        <v>#REF!</v>
      </c>
      <c r="K24" s="13" t="e">
        <f t="shared" si="1"/>
        <v>#REF!</v>
      </c>
      <c r="L24" s="13" t="e">
        <f t="shared" si="3"/>
        <v>#REF!</v>
      </c>
      <c r="M24" s="13" t="e">
        <f t="shared" si="3"/>
        <v>#REF!</v>
      </c>
      <c r="N24" s="13" t="e">
        <f t="shared" si="3"/>
        <v>#REF!</v>
      </c>
      <c r="O24" s="13" t="e">
        <f t="shared" si="3"/>
        <v>#REF!</v>
      </c>
    </row>
    <row r="25" spans="3:15" hidden="1" x14ac:dyDescent="0.45">
      <c r="J25" s="13" t="e">
        <f>+$J$17*(#REF!-1)</f>
        <v>#REF!</v>
      </c>
      <c r="K25" s="13" t="e">
        <f t="shared" si="1"/>
        <v>#REF!</v>
      </c>
      <c r="L25" s="13" t="e">
        <f t="shared" si="3"/>
        <v>#REF!</v>
      </c>
      <c r="M25" s="13" t="e">
        <f t="shared" si="3"/>
        <v>#REF!</v>
      </c>
      <c r="N25" s="13" t="e">
        <f t="shared" si="3"/>
        <v>#REF!</v>
      </c>
      <c r="O25" s="13" t="e">
        <f t="shared" si="3"/>
        <v>#REF!</v>
      </c>
    </row>
    <row r="26" spans="3:15" hidden="1" x14ac:dyDescent="0.45">
      <c r="J26" s="13" t="e">
        <f>+$J$17*(#REF!-1)</f>
        <v>#REF!</v>
      </c>
      <c r="K26" s="13" t="e">
        <f t="shared" si="1"/>
        <v>#REF!</v>
      </c>
      <c r="L26" s="13" t="e">
        <f t="shared" si="3"/>
        <v>#REF!</v>
      </c>
      <c r="M26" s="13" t="e">
        <f t="shared" si="3"/>
        <v>#REF!</v>
      </c>
      <c r="N26" s="13" t="e">
        <f t="shared" si="3"/>
        <v>#REF!</v>
      </c>
      <c r="O26" s="13" t="e">
        <f t="shared" si="3"/>
        <v>#REF!</v>
      </c>
    </row>
    <row r="27" spans="3:15" hidden="1" x14ac:dyDescent="0.45">
      <c r="J27" s="13" t="e">
        <f>+$J$17*(#REF!-1)</f>
        <v>#REF!</v>
      </c>
      <c r="K27" s="13" t="e">
        <f t="shared" si="1"/>
        <v>#REF!</v>
      </c>
      <c r="L27" s="13" t="e">
        <f t="shared" si="3"/>
        <v>#REF!</v>
      </c>
      <c r="M27" s="13" t="e">
        <f t="shared" si="3"/>
        <v>#REF!</v>
      </c>
      <c r="N27" s="13" t="e">
        <f t="shared" si="3"/>
        <v>#REF!</v>
      </c>
      <c r="O27" s="13" t="e">
        <f t="shared" si="3"/>
        <v>#REF!</v>
      </c>
    </row>
    <row r="28" spans="3:15" hidden="1" x14ac:dyDescent="0.45">
      <c r="J28" s="13" t="e">
        <f>+$J$17*(#REF!-1)</f>
        <v>#REF!</v>
      </c>
      <c r="K28" s="13" t="e">
        <f t="shared" si="1"/>
        <v>#REF!</v>
      </c>
      <c r="L28" s="13" t="e">
        <f t="shared" si="3"/>
        <v>#REF!</v>
      </c>
      <c r="M28" s="13" t="e">
        <f t="shared" si="3"/>
        <v>#REF!</v>
      </c>
      <c r="N28" s="13" t="e">
        <f t="shared" si="3"/>
        <v>#REF!</v>
      </c>
      <c r="O28" s="13" t="e">
        <f t="shared" si="3"/>
        <v>#REF!</v>
      </c>
    </row>
    <row r="29" spans="3:15" hidden="1" x14ac:dyDescent="0.45">
      <c r="J29" s="13" t="e">
        <f>+$J$17*(#REF!-1)</f>
        <v>#REF!</v>
      </c>
      <c r="K29" s="13" t="e">
        <f t="shared" si="1"/>
        <v>#REF!</v>
      </c>
      <c r="L29" s="13" t="e">
        <f t="shared" si="3"/>
        <v>#REF!</v>
      </c>
      <c r="M29" s="13" t="e">
        <f t="shared" si="3"/>
        <v>#REF!</v>
      </c>
      <c r="N29" s="13" t="e">
        <f t="shared" si="3"/>
        <v>#REF!</v>
      </c>
      <c r="O29" s="13" t="e">
        <f t="shared" si="3"/>
        <v>#REF!</v>
      </c>
    </row>
    <row r="30" spans="3:15" hidden="1" x14ac:dyDescent="0.45">
      <c r="J30" s="13" t="e">
        <f>+$J$17*(#REF!-1)</f>
        <v>#REF!</v>
      </c>
      <c r="K30" s="13" t="e">
        <f t="shared" si="1"/>
        <v>#REF!</v>
      </c>
      <c r="L30" s="13" t="e">
        <f t="shared" ref="L30:N32" si="4">L$16-$J30</f>
        <v>#REF!</v>
      </c>
      <c r="M30" s="13" t="e">
        <f t="shared" si="4"/>
        <v>#REF!</v>
      </c>
      <c r="N30" s="13" t="e">
        <f t="shared" si="4"/>
        <v>#REF!</v>
      </c>
      <c r="O30" s="13"/>
    </row>
    <row r="31" spans="3:15" hidden="1" x14ac:dyDescent="0.45">
      <c r="J31" s="13" t="e">
        <f>+$J$17*(#REF!-1)</f>
        <v>#REF!</v>
      </c>
      <c r="K31" s="13" t="e">
        <f t="shared" si="1"/>
        <v>#REF!</v>
      </c>
      <c r="L31" s="13" t="e">
        <f t="shared" si="4"/>
        <v>#REF!</v>
      </c>
      <c r="M31" s="13" t="e">
        <f t="shared" si="4"/>
        <v>#REF!</v>
      </c>
      <c r="N31" s="13" t="e">
        <f t="shared" si="4"/>
        <v>#REF!</v>
      </c>
      <c r="O31" s="13"/>
    </row>
    <row r="32" spans="3:15" hidden="1" x14ac:dyDescent="0.45">
      <c r="J32" s="13" t="e">
        <f>+$J$17*(#REF!-1)</f>
        <v>#REF!</v>
      </c>
      <c r="K32" s="13" t="e">
        <f t="shared" si="1"/>
        <v>#REF!</v>
      </c>
      <c r="L32" s="13" t="e">
        <f t="shared" si="4"/>
        <v>#REF!</v>
      </c>
      <c r="M32" s="13" t="e">
        <f t="shared" si="4"/>
        <v>#REF!</v>
      </c>
      <c r="N32" s="13" t="e">
        <f t="shared" si="4"/>
        <v>#REF!</v>
      </c>
      <c r="O32" s="13"/>
    </row>
    <row r="33" spans="10:15" hidden="1" x14ac:dyDescent="0.45">
      <c r="J33" s="13" t="e">
        <f>+$J$17*(#REF!-1)</f>
        <v>#REF!</v>
      </c>
      <c r="K33" s="13" t="e">
        <f t="shared" si="1"/>
        <v>#REF!</v>
      </c>
      <c r="L33" s="13" t="e">
        <f t="shared" ref="L33:M35" si="5">L$16-$J33</f>
        <v>#REF!</v>
      </c>
      <c r="M33" s="13" t="e">
        <f t="shared" si="5"/>
        <v>#REF!</v>
      </c>
      <c r="N33" s="13"/>
      <c r="O33" s="13"/>
    </row>
    <row r="34" spans="10:15" hidden="1" x14ac:dyDescent="0.45">
      <c r="J34" s="13" t="e">
        <f>+$J$17*(#REF!-1)</f>
        <v>#REF!</v>
      </c>
      <c r="K34" s="13" t="e">
        <f t="shared" si="1"/>
        <v>#REF!</v>
      </c>
      <c r="L34" s="13" t="e">
        <f t="shared" si="5"/>
        <v>#REF!</v>
      </c>
      <c r="M34" s="13" t="e">
        <f t="shared" si="5"/>
        <v>#REF!</v>
      </c>
      <c r="N34" s="13"/>
      <c r="O34" s="13"/>
    </row>
    <row r="35" spans="10:15" hidden="1" x14ac:dyDescent="0.45">
      <c r="J35" s="13" t="e">
        <f>+$J$17*(#REF!-1)</f>
        <v>#REF!</v>
      </c>
      <c r="K35" s="13" t="e">
        <f t="shared" si="1"/>
        <v>#REF!</v>
      </c>
      <c r="L35" s="13" t="e">
        <f t="shared" si="5"/>
        <v>#REF!</v>
      </c>
      <c r="M35" s="13" t="e">
        <f t="shared" si="5"/>
        <v>#REF!</v>
      </c>
      <c r="N35" s="13"/>
      <c r="O35" s="13"/>
    </row>
    <row r="36" spans="10:15" hidden="1" x14ac:dyDescent="0.45"/>
    <row r="37" spans="10:15" hidden="1" x14ac:dyDescent="0.45"/>
    <row r="38" spans="10:15" hidden="1" x14ac:dyDescent="0.45"/>
  </sheetData>
  <phoneticPr fontId="3" type="noConversion"/>
  <hyperlinks>
    <hyperlink ref="C5" r:id="rId1" display="Table de sejour +4 Chaises" xr:uid="{C62995D2-FF24-443D-BA8A-7875E387AEAD}"/>
    <hyperlink ref="C4" r:id="rId2" xr:uid="{8F536EEE-E19C-4DAD-A73B-FB6F92DC253D}"/>
    <hyperlink ref="C2" r:id="rId3" display="Canapé" xr:uid="{D1565B12-7A98-4B4D-B0B5-D76BC5CFD936}"/>
    <hyperlink ref="C13" r:id="rId4" display="Garde robe" xr:uid="{A4DA1E62-7C24-431D-96B4-77E773792DD1}"/>
    <hyperlink ref="C7" r:id="rId5" xr:uid="{5DDDA6C2-FF4C-4274-91B6-EE910F03562F}"/>
    <hyperlink ref="C12" r:id="rId6" xr:uid="{235AF5DF-1A27-4BB0-9A7C-ADB0B0242746}"/>
    <hyperlink ref="C11" r:id="rId7" xr:uid="{9C96060A-FFF0-403E-A39F-41CB58008F6F}"/>
    <hyperlink ref="C10" r:id="rId8" display="Chevet X 2" xr:uid="{6DD40177-1F9F-46DF-B987-10D13DCD288A}"/>
    <hyperlink ref="C8" r:id="rId9" xr:uid="{F8A16020-C4EC-4E34-8AAB-D8630A17F1BE}"/>
    <hyperlink ref="C6" r:id="rId10" xr:uid="{D56B75CE-365D-4830-8DE4-13DB07FE500C}"/>
    <hyperlink ref="C9" r:id="rId11" xr:uid="{7D3BD571-9C5F-48C0-AF7D-2B1FDBF97605}"/>
    <hyperlink ref="C14" r:id="rId12" xr:uid="{1788A570-CCDD-4388-A268-98E26BB3F5F3}"/>
    <hyperlink ref="C15" r:id="rId13" display="Meuble WC x 2" xr:uid="{C491221A-10A9-44FC-9AE4-F50A15B65ADE}"/>
    <hyperlink ref="C3" r:id="rId14" xr:uid="{ACF81FB8-A756-4EC8-A0D3-30EDF1462BCF}"/>
  </hyperlinks>
  <pageMargins left="0.7" right="0.7" top="0.75" bottom="0.75" header="0.3" footer="0.3"/>
  <pageSetup paperSize="9" orientation="landscape"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2026-08-10T12:29:26Z</dcterms:modified>
</cp:coreProperties>
</file>