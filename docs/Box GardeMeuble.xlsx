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acboi\Documents\Projets\vente-meubles\docs\"/>
    </mc:Choice>
  </mc:AlternateContent>
  <xr:revisionPtr revIDLastSave="0" documentId="13_ncr:1_{C73FCBA8-657B-4D6A-AD53-D0A522122038}" xr6:coauthVersionLast="47" xr6:coauthVersionMax="47" xr10:uidLastSave="{00000000-0000-0000-0000-000000000000}"/>
  <bookViews>
    <workbookView xWindow="-98" yWindow="-98" windowWidth="21795" windowHeight="12975" xr2:uid="{FD343005-4382-4935-A274-266D1E9B84BE}"/>
  </bookViews>
  <sheets>
    <sheet name="Meuble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13" i="1" l="1"/>
  <c r="S12" i="1"/>
  <c r="S11" i="1"/>
  <c r="S10" i="1"/>
  <c r="S9" i="1"/>
  <c r="S8" i="1"/>
  <c r="S7" i="1"/>
  <c r="S6" i="1"/>
  <c r="S5" i="1"/>
  <c r="S4" i="1"/>
  <c r="S3" i="1"/>
  <c r="S2" i="1"/>
  <c r="G13" i="1"/>
  <c r="G14" i="1" s="1"/>
  <c r="N13" i="1"/>
  <c r="O13" i="1" s="1"/>
  <c r="S15" i="1"/>
  <c r="O1" i="1"/>
  <c r="O2" i="1" s="1"/>
  <c r="N17" i="1"/>
  <c r="N18" i="1"/>
  <c r="N19" i="1"/>
  <c r="N20" i="1"/>
  <c r="N21" i="1"/>
  <c r="N22" i="1"/>
  <c r="N23" i="1"/>
  <c r="N24" i="1"/>
  <c r="N25" i="1"/>
  <c r="N26" i="1"/>
  <c r="N27" i="1"/>
  <c r="N28" i="1"/>
  <c r="N29" i="1"/>
  <c r="N30" i="1"/>
  <c r="N31" i="1"/>
  <c r="N32" i="1"/>
  <c r="N33" i="1"/>
  <c r="N16" i="1"/>
  <c r="R13" i="1"/>
  <c r="R12" i="1"/>
  <c r="R11" i="1"/>
  <c r="R10" i="1"/>
  <c r="R9" i="1"/>
  <c r="R8" i="1"/>
  <c r="R7" i="1"/>
  <c r="R6" i="1"/>
  <c r="R5" i="1"/>
  <c r="R4" i="1"/>
  <c r="R3" i="1"/>
  <c r="R2" i="1"/>
  <c r="Q12" i="1"/>
  <c r="Q11" i="1"/>
  <c r="Q10" i="1"/>
  <c r="Q9" i="1"/>
  <c r="Q8" i="1"/>
  <c r="Q7" i="1"/>
  <c r="Q6" i="1"/>
  <c r="Q5" i="1"/>
  <c r="Q4" i="1"/>
  <c r="Q3" i="1"/>
  <c r="Q2" i="1"/>
  <c r="P2" i="1"/>
  <c r="P3" i="1"/>
  <c r="P4" i="1"/>
  <c r="P5" i="1"/>
  <c r="P6" i="1"/>
  <c r="P7" i="1"/>
  <c r="P8" i="1"/>
  <c r="P9" i="1"/>
  <c r="P10" i="1"/>
  <c r="P11" i="1"/>
  <c r="P12" i="1"/>
  <c r="K8" i="1"/>
  <c r="G8" i="1"/>
  <c r="K12" i="1"/>
  <c r="K11" i="1"/>
  <c r="K10" i="1"/>
  <c r="K9" i="1"/>
  <c r="K7" i="1"/>
  <c r="K6" i="1"/>
  <c r="K5" i="1"/>
  <c r="K4" i="1"/>
  <c r="K3" i="1"/>
  <c r="K2" i="1"/>
  <c r="G7" i="1"/>
  <c r="G5" i="1"/>
  <c r="G10" i="1"/>
  <c r="G4" i="1"/>
  <c r="G6" i="1"/>
  <c r="G9" i="1"/>
  <c r="G11" i="1"/>
  <c r="G12" i="1"/>
  <c r="G2" i="1"/>
  <c r="G3" i="1"/>
  <c r="N14" i="1" l="1"/>
  <c r="P13" i="1"/>
  <c r="P14" i="1" s="1"/>
  <c r="Q13" i="1"/>
  <c r="Q14" i="1" s="1"/>
  <c r="Q16" i="1" s="1"/>
  <c r="O12" i="1"/>
  <c r="O7" i="1"/>
  <c r="O10" i="1"/>
  <c r="O8" i="1"/>
  <c r="O6" i="1"/>
  <c r="O5" i="1"/>
  <c r="O4" i="1"/>
  <c r="O9" i="1"/>
  <c r="O3" i="1"/>
  <c r="O11" i="1"/>
  <c r="R14" i="1"/>
  <c r="R18" i="1" s="1"/>
  <c r="K14" i="1"/>
  <c r="P27" i="1" l="1"/>
  <c r="P33" i="1"/>
  <c r="P22" i="1"/>
  <c r="P21" i="1"/>
  <c r="P19" i="1"/>
  <c r="P23" i="1"/>
  <c r="P25" i="1"/>
  <c r="P30" i="1"/>
  <c r="P16" i="1"/>
  <c r="S14" i="1"/>
  <c r="P32" i="1"/>
  <c r="O14" i="1"/>
  <c r="O23" i="1" s="1"/>
  <c r="S23" i="1" s="1"/>
  <c r="P26" i="1"/>
  <c r="P18" i="1"/>
  <c r="Q30" i="1"/>
  <c r="Q18" i="1"/>
  <c r="Q17" i="1"/>
  <c r="Q19" i="1"/>
  <c r="R23" i="1"/>
  <c r="R27" i="1"/>
  <c r="Q27" i="1"/>
  <c r="Q23" i="1"/>
  <c r="P31" i="1"/>
  <c r="R26" i="1"/>
  <c r="Q28" i="1"/>
  <c r="R22" i="1"/>
  <c r="Q22" i="1"/>
  <c r="Q25" i="1"/>
  <c r="Q20" i="1"/>
  <c r="Q29" i="1"/>
  <c r="Q24" i="1"/>
  <c r="Q26" i="1"/>
  <c r="Q21" i="1"/>
  <c r="R16" i="1"/>
  <c r="R19" i="1"/>
  <c r="P20" i="1"/>
  <c r="R21" i="1"/>
  <c r="P17" i="1"/>
  <c r="R20" i="1"/>
  <c r="R17" i="1"/>
  <c r="P29" i="1"/>
  <c r="R25" i="1"/>
  <c r="O25" i="1"/>
  <c r="S25" i="1" s="1"/>
  <c r="R24" i="1"/>
  <c r="P28" i="1"/>
  <c r="P24" i="1"/>
  <c r="O30" i="1" l="1"/>
  <c r="S30" i="1" s="1"/>
  <c r="O18" i="1"/>
  <c r="S18" i="1" s="1"/>
  <c r="O19" i="1"/>
  <c r="S19" i="1" s="1"/>
  <c r="O32" i="1"/>
  <c r="S32" i="1" s="1"/>
  <c r="O22" i="1"/>
  <c r="S22" i="1" s="1"/>
  <c r="O27" i="1"/>
  <c r="S27" i="1" s="1"/>
  <c r="O21" i="1"/>
  <c r="S21" i="1" s="1"/>
  <c r="O31" i="1"/>
  <c r="S31" i="1" s="1"/>
  <c r="O33" i="1"/>
  <c r="S33" i="1" s="1"/>
  <c r="O29" i="1"/>
  <c r="S29" i="1" s="1"/>
  <c r="O24" i="1"/>
  <c r="S24" i="1" s="1"/>
  <c r="O16" i="1"/>
  <c r="S16" i="1" s="1"/>
  <c r="O17" i="1"/>
  <c r="S17" i="1" s="1"/>
  <c r="O28" i="1"/>
  <c r="S28" i="1" s="1"/>
  <c r="O26" i="1"/>
  <c r="S26" i="1" s="1"/>
  <c r="O20" i="1"/>
  <c r="S20" i="1" s="1"/>
</calcChain>
</file>

<file path=xl/sharedStrings.xml><?xml version="1.0" encoding="utf-8"?>
<sst xmlns="http://schemas.openxmlformats.org/spreadsheetml/2006/main" count="93" uniqueCount="62">
  <si>
    <t>Table salon</t>
  </si>
  <si>
    <t>Meuble TV</t>
  </si>
  <si>
    <t>Bureau</t>
  </si>
  <si>
    <t>Lit</t>
  </si>
  <si>
    <t>Meuble Entrée</t>
  </si>
  <si>
    <t>Matelas</t>
  </si>
  <si>
    <t>Haut</t>
  </si>
  <si>
    <t>Larg</t>
  </si>
  <si>
    <t>Long</t>
  </si>
  <si>
    <r>
      <t>en m</t>
    </r>
    <r>
      <rPr>
        <vertAlign val="superscript"/>
        <sz val="11"/>
        <color theme="1"/>
        <rFont val="Aptos Narrow"/>
        <family val="2"/>
        <scheme val="minor"/>
      </rPr>
      <t>3</t>
    </r>
  </si>
  <si>
    <t>Sommier</t>
  </si>
  <si>
    <t>Desserte cuisine</t>
  </si>
  <si>
    <t>Prix neuf</t>
  </si>
  <si>
    <t>BOX (par mois)</t>
  </si>
  <si>
    <t>Table de sejour +4 Chaises</t>
  </si>
  <si>
    <t>Ref</t>
  </si>
  <si>
    <t>002</t>
  </si>
  <si>
    <t>003</t>
  </si>
  <si>
    <t>004</t>
  </si>
  <si>
    <t>005</t>
  </si>
  <si>
    <t>006</t>
  </si>
  <si>
    <t>008</t>
  </si>
  <si>
    <t>009</t>
  </si>
  <si>
    <t>010</t>
  </si>
  <si>
    <t>011</t>
  </si>
  <si>
    <t>012</t>
  </si>
  <si>
    <t>013</t>
  </si>
  <si>
    <t>014</t>
  </si>
  <si>
    <t>Categorie</t>
  </si>
  <si>
    <t>Salon</t>
  </si>
  <si>
    <t>Séjour</t>
  </si>
  <si>
    <t>Chambre</t>
  </si>
  <si>
    <t>Entrée</t>
  </si>
  <si>
    <t>WC</t>
  </si>
  <si>
    <t>Etat</t>
  </si>
  <si>
    <t>Comme neuf</t>
  </si>
  <si>
    <t>Bon etat</t>
  </si>
  <si>
    <t>Très bon état</t>
  </si>
  <si>
    <t>Prix de vente</t>
  </si>
  <si>
    <t>Statut</t>
  </si>
  <si>
    <t>Nb Photos</t>
  </si>
  <si>
    <t>Disponible</t>
  </si>
  <si>
    <t>Date d'achat</t>
  </si>
  <si>
    <t>Description</t>
  </si>
  <si>
    <t>Armoire 3 portes battantes</t>
  </si>
  <si>
    <t>Nom</t>
  </si>
  <si>
    <t>Couleur</t>
  </si>
  <si>
    <t>Matière</t>
  </si>
  <si>
    <t>Chevet</t>
  </si>
  <si>
    <t>Meuble WC</t>
  </si>
  <si>
    <t>Table basse de salon, multifonctionnelle
De forme rectangulaire, cette table basse de L. 100 x H. 60 x P. 45,58 cm se démarque par une structure en panneaux de particules mélaminés, un mécanisme laptop en acier et un piètement en acier recouvert d'époxy. Peu encombrante et de faible profondeur, cette table basse est facile à entretenir avec un chiffon en microfibres.</t>
  </si>
  <si>
    <t>Meuble TV 155 cm
Coloris chêne et noir.
Une tablette de rangement supplémentaire est intégrée, idéale pour organiser vos accessoires multimédia.
Le passe-câbles intégré assure une gestion discrète et ordonnée des fils, contribuant à un espace de vie harmonieux et bien rangé.
Avec une longueur de 155 cm, une largeur de 40 cm et une hauteur de 43 cm, le meuble TV offre un espace suffisant pour accueillir une grande télévision ainsi que d'autres équipements audiovisuels. Son poids total de 24 kg témoigne de sa solidité et de sa stabilité.</t>
  </si>
  <si>
    <t xml:space="preserve">Ensemble table rectangulaire 4 chaises
Avec sa table de séjour de forme rectangulaire, cet ensemble offre une solution pratique pour accueillir jusqu'à quatre personnes.
Le design bicolore, associant le noir et le blanc pour la table et le gris foncé pour les chaises, confère une touche moderne et élégante à votre intérieur.
La table, d'une longueur de 120 cm, est idéale pour les espaces restreints tout en permettant de partager des moments conviviaux en famille ou entre amis.
Le plateau de la table est en panneau de particules avec une finition mélaminée, offrant une surface résistante et facile à entretenir.
Les chaises, quant à elles, sont dotées d'une assise et d'un dossier en tissu, procurant un confort optimal.
Les dimensions ergonomiques des chaises, avec une hauteur d'assise de 46 cm et une profondeur de 54 cm, assurent un confort d'assise appréciable.
Avec une hauteur de table de 75 cm et une épaisseur de plateau de 18 mm, cet ensemble allie solidité et élégance pour sublimer votre espace de vie.
</t>
  </si>
  <si>
    <t>Desserte cuisine au design moderne.
Elle combine une teinte noire élégante avec un revêtement effet bois clair, créant ainsi un contraste visuel attrayant.
Les poignées en aluminium laqué noir ajoutent une touche de sophistication supplémentaire.
Rangements pratiques et mobilité facilitée. Avec ses deux portes qui s'ouvrent sur un vaste espace de stockage, elle permet d'organiser efficacement vos ustensiles et provisions.
Un atout majeur de ce meuble est son range-bouteilles latéral.
Dotée de roulettes multidirectionnelles, elle se déplace aisément, offrant une flexibilité d'utilisation au quotidien. Dimensions compactes (largeur de 75 cm, hauteur de 80,7 cm, profondeur de 40 cm) et un poids total de 20,9 kg.</t>
  </si>
  <si>
    <t>Bureau 110 cm coloris Chêne artisan
Avec son style naturel et son coloris chêne artisan, ce bureau s'intègre parfaitement dans un environnement chaleureux et moderne.
Le bois foncé apporte une touche d'élégance qui se marie facilement avec divers styles de décoration intérieure.
Ce bureau est équipé d'une porte et d'une niche, offrant des solutions de rangement pratiques pour les fournitures et les petits objets personnels.
Avec ses dimensions compactes, le Bureau mesure 110 cm de longueur, 77 cm de hauteur et 55,5 cm de profondeur, ce qui en fait un choix parfait pour les chambres d'enfants ou petit bureau où l'espace est précieux. Son poids total de 39 kg assure une stabilité optimale, garantissant ainsi une utilisation sécurisée.</t>
  </si>
  <si>
    <t>Cadre de lit 2 places 140x190
Le lit adulte s'illustre par son style industriel, idéal pour ceux qui souhaitent insuffler une ambiance moderne et épurée à leur chambre. 
Avec sa finition en papier décor et ses teintes chêne kronberg et waterford, ce lit apporte une légère touche industrielle, tout en restant chaleureux. 
Vendu sans sommier ni matelas.
Dimensions de couchage de 140x190 cm. 
Avec une longueur de 194,7 cm, une largeur de 148,3 cm et une hauteur de 71,7 cm, il s'intègre facilement dans la plupart des espaces.</t>
  </si>
  <si>
    <t>Chevet 1 tiroir.
Teintes de chêne krongberg et waterford.
Dimensions compactes, avec une largeur de 39,5 cm, une hauteur de 32,1 cm et une profondeur de 34,7 cm
Son tiroir unique permet de ranger facilement vos livres, lunettes ou autres objets personnels.
Possible d'acheter 2 chevets avec remise.</t>
  </si>
  <si>
    <t>Matelas 140x190 cm 8 HEURES FUTE : .
A ressorts ensachés, ce matelas offre une indépendance de couchage remarquable, permettant de ne pas ressentir les mouvements de son partenaire.
Fabriqué en France, il répond aux besoins des couples ou des personnes seules souhaitant un matelas deux places qui s'adapte parfaitement à leur morphologie.
Son accueil ferme et son épaisseur de 21 cm garantissent un sommeil réparateur, quelle que soit la saison.
Ce matelas 8 HEURES FUTE se distingue par sa suspension de 480 ressorts ensachés, qui assure une excellente circulation de l'air et un soutien durable.
Le tissu stretch 100 % polyester optimise la ventilation, évacuant l'humidité pour un confort optimal.
Avec ses deux faces de couchage, il s'adapte aux variations saisonnières, offrant une face été avec un garnissage fin et respirant, et une face hiver plus enveloppante.
Avec un poids de 32 kg, il est à la fois robuste et facile à manipuler.</t>
  </si>
  <si>
    <t>Cadre à lattes fixe 140x190 cm
Doté de 20 lattes souples en multiplis, garantissant une excellente répartition du poids et un maintien adapté à chaque morphologie.
Structure en métal ,solidité à toute épreuve, 3 zones de soutien, dont une zone lombaire renforcée.
Ce cadre est idéal pour ceux qui souhaitent améliorer la qualité de leur sommeil tout en préservant leur dos.
Fabriqué en France, ce sommier tapissier se distingue par ses caractéristiques techniques avancées.
Avec une longueur de 190 cm, une largeur de 140 cm et une épaisseur de 5 cm, il s'intègre parfaitement dans les chambres de taille moyenne.
Le choix de matériaux de qualité comme le métal pour la structure et les lattes multiplis pour la suspension assure une durabilité exceptionnelle.
De plus, son coloris gris s'harmonise facilement avec tout type de décor.
Avec un poids total de 16 kg, il est facile à manipuler lors de l'installation.</t>
  </si>
  <si>
    <t>Armoire 3 portes battantes
Design moderne et épuré, alliant le coloris Chêne Kronberg et Waterford.
Miroir intégréau centre.
Fabriquée en France.
Dotée de 3 portes battantes, l'armoire offre un aménagement intérieur astucieux avec deux tiers dédiés à la penderie et un tiers en lingère.
Les étagères modulables permettent de ranger efficacement vos vêtements pliés.
La structure en panneau de particules assure une robustesse et une durabilité optimales.
Avec une largeur de 133,5 cm, une hauteur de 191,5 cm et une profondeur de 51,4 cm, cette armoire est conçue pour optimiser l'espace de rangement tout en s'adaptant à des pièces de tailles variées.</t>
  </si>
  <si>
    <t xml:space="preserve">Vestiaire multi-usages
Idéal dans l'entrée pour suspendre les vestes et les manteaux ou déposer les sacs et les chapeaux et se prête également au rangement des chaussures. 
Contemporain et design, il est muni d'une étagère haute, d'un système de patère avec 4 crochets en bois, d'un plateau en panneaux de particules enduit et de 2 étagères inférieures.
Dimensions L. 76 x H. 178 x l. 35 cm.
</t>
  </si>
  <si>
    <t>Meuble WC 1 porte + 2 tiroirs
Dimensions : Longueur 15 cm x largeur 33 cm x Hauteur 136 cm
Possible d'acheter 2 meubles avec remise.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</si>
</sst>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quot;"/>
    <numFmt numFmtId="165" formatCode="[$-40C]mmm\-yy;@"/>
  </numFmts>
  <fonts count="4" x14ac:knownFonts="1">
    <font>
      <sz val="11"/>
      <color theme="1"/>
      <name val="Aptos Narrow"/>
      <family val="2"/>
      <scheme val="minor"/>
    </font>
    <font>
      <vertAlign val="superscript"/>
      <sz val="11"/>
      <color theme="1"/>
      <name val="Aptos Narrow"/>
      <family val="2"/>
      <scheme val="minor"/>
    </font>
    <font>
      <u/>
      <sz val="11"/>
      <color theme="10"/>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32">
    <xf numFmtId="0" fontId="0" fillId="0" borderId="0" xfId="0"/>
    <xf numFmtId="0" fontId="0" fillId="2" borderId="0" xfId="0" applyFill="1" applyAlignment="1">
      <alignment vertical="top"/>
    </xf>
    <xf numFmtId="0" fontId="0" fillId="2" borderId="9" xfId="0" applyFill="1" applyBorder="1" applyAlignment="1">
      <alignment vertical="top"/>
    </xf>
    <xf numFmtId="0" fontId="0" fillId="2" borderId="0" xfId="0" applyFill="1" applyAlignment="1">
      <alignment horizontal="center" vertical="top"/>
    </xf>
    <xf numFmtId="0" fontId="0" fillId="2" borderId="3" xfId="0" applyFill="1" applyBorder="1" applyAlignment="1">
      <alignment horizontal="center" vertical="top"/>
    </xf>
    <xf numFmtId="0" fontId="0" fillId="2" borderId="4" xfId="0" applyFill="1" applyBorder="1" applyAlignment="1">
      <alignment horizontal="center" vertical="top"/>
    </xf>
    <xf numFmtId="165" fontId="0" fillId="2" borderId="0" xfId="0" applyNumberFormat="1" applyFill="1" applyAlignment="1">
      <alignment horizontal="center" vertical="top"/>
    </xf>
    <xf numFmtId="164" fontId="0" fillId="0" borderId="2" xfId="0" applyNumberFormat="1" applyBorder="1" applyAlignment="1">
      <alignment vertical="top"/>
    </xf>
    <xf numFmtId="9" fontId="0" fillId="0" borderId="8" xfId="0" quotePrefix="1" applyNumberFormat="1" applyBorder="1" applyAlignment="1">
      <alignment vertical="top"/>
    </xf>
    <xf numFmtId="49" fontId="0" fillId="0" borderId="0" xfId="0" quotePrefix="1" applyNumberFormat="1" applyAlignment="1">
      <alignment vertical="top"/>
    </xf>
    <xf numFmtId="0" fontId="2" fillId="0" borderId="9" xfId="1" applyBorder="1" applyAlignment="1">
      <alignment vertical="top"/>
    </xf>
    <xf numFmtId="0" fontId="0" fillId="0" borderId="0" xfId="0" applyAlignment="1">
      <alignment horizontal="center" vertical="top"/>
    </xf>
    <xf numFmtId="2" fontId="0" fillId="0" borderId="0" xfId="0" applyNumberFormat="1" applyAlignment="1">
      <alignment horizontal="center" vertical="top"/>
    </xf>
    <xf numFmtId="0" fontId="0" fillId="0" borderId="3" xfId="0" applyBorder="1" applyAlignment="1">
      <alignment horizontal="center" vertical="top"/>
    </xf>
    <xf numFmtId="2" fontId="0" fillId="0" borderId="4" xfId="0" applyNumberFormat="1" applyBorder="1" applyAlignment="1">
      <alignment horizontal="center" vertical="top"/>
    </xf>
    <xf numFmtId="165" fontId="0" fillId="0" borderId="0" xfId="0" applyNumberFormat="1" applyAlignment="1">
      <alignment horizontal="center" vertical="top"/>
    </xf>
    <xf numFmtId="164" fontId="0" fillId="0" borderId="3" xfId="0" applyNumberFormat="1" applyBorder="1" applyAlignment="1">
      <alignment vertical="top"/>
    </xf>
    <xf numFmtId="164" fontId="0" fillId="0" borderId="9" xfId="0" applyNumberFormat="1" applyBorder="1" applyAlignment="1">
      <alignment vertical="top"/>
    </xf>
    <xf numFmtId="164" fontId="0" fillId="0" borderId="0" xfId="0" applyNumberFormat="1" applyAlignment="1">
      <alignment vertical="top"/>
    </xf>
    <xf numFmtId="0" fontId="0" fillId="0" borderId="0" xfId="0" applyAlignment="1">
      <alignment vertical="top"/>
    </xf>
    <xf numFmtId="0" fontId="0" fillId="0" borderId="1" xfId="0" applyBorder="1" applyAlignment="1">
      <alignment vertical="top"/>
    </xf>
    <xf numFmtId="0" fontId="0" fillId="0" borderId="6" xfId="0" applyBorder="1" applyAlignment="1">
      <alignment horizontal="center" vertical="top"/>
    </xf>
    <xf numFmtId="2" fontId="0" fillId="0" borderId="6" xfId="0" applyNumberFormat="1" applyBorder="1" applyAlignment="1">
      <alignment horizontal="center" vertical="top"/>
    </xf>
    <xf numFmtId="0" fontId="0" fillId="0" borderId="5" xfId="0" applyBorder="1" applyAlignment="1">
      <alignment horizontal="center" vertical="top"/>
    </xf>
    <xf numFmtId="2" fontId="0" fillId="0" borderId="7" xfId="0" applyNumberFormat="1" applyBorder="1" applyAlignment="1">
      <alignment horizontal="center" vertical="top"/>
    </xf>
    <xf numFmtId="165" fontId="0" fillId="0" borderId="6" xfId="0" applyNumberFormat="1" applyBorder="1" applyAlignment="1">
      <alignment horizontal="center" vertical="top"/>
    </xf>
    <xf numFmtId="164" fontId="0" fillId="0" borderId="5" xfId="0" applyNumberFormat="1" applyBorder="1" applyAlignment="1">
      <alignment vertical="top"/>
    </xf>
    <xf numFmtId="164" fontId="0" fillId="0" borderId="1" xfId="0" applyNumberFormat="1" applyBorder="1" applyAlignment="1">
      <alignment vertical="top"/>
    </xf>
    <xf numFmtId="9" fontId="0" fillId="0" borderId="0" xfId="0" quotePrefix="1" applyNumberFormat="1" applyAlignment="1">
      <alignment vertical="top"/>
    </xf>
    <xf numFmtId="0" fontId="3" fillId="2" borderId="0" xfId="0" applyFont="1" applyFill="1" applyAlignment="1">
      <alignment vertical="top"/>
    </xf>
    <xf numFmtId="0" fontId="3" fillId="0" borderId="0" xfId="0" applyFont="1" applyAlignment="1">
      <alignment vertical="top" wrapText="1"/>
    </xf>
    <xf numFmtId="0" fontId="3" fillId="0" borderId="0" xfId="0" applyFont="1" applyAlignment="1">
      <alignment vertical="top"/>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onforama.fr/cuisine-salle-de-bain/meuble-de-cuisine/meuble-micro-ondes-et-desserte/desserte-fumay-2/p/750063" TargetMode="External"/><Relationship Id="rId13" Type="http://schemas.openxmlformats.org/officeDocument/2006/relationships/printerSettings" Target="../printerSettings/printerSettings1.bin"/><Relationship Id="rId3" Type="http://schemas.openxmlformats.org/officeDocument/2006/relationships/hyperlink" Target="https://www.conforama.fr/chambre-literie/chambre-adulte/armoire/armoire-watson/p/763917" TargetMode="External"/><Relationship Id="rId7" Type="http://schemas.openxmlformats.org/officeDocument/2006/relationships/hyperlink" Target="https://www.conforama.fr/chambre-literie/chambre-adulte/chevet/chevet-watson/p/763895" TargetMode="External"/><Relationship Id="rId12" Type="http://schemas.openxmlformats.org/officeDocument/2006/relationships/hyperlink" Target="https://www.but.fr/produits/4894223218450/Table-basse-plateau-relevable-VINCENTE-Imitation-chene-noir.html?searchTerm=(autocompl%C3%A9tion)&amp;searchCategory=Recherche%20assist%C3%A9e%20Produit" TargetMode="External"/><Relationship Id="rId2" Type="http://schemas.openxmlformats.org/officeDocument/2006/relationships/hyperlink" Target="https://www.conforama.fr/canape-salon-sejour/salon/meuble-tv/meuble-tv-banc-tv-155-cm-tomy-2/p/103595" TargetMode="External"/><Relationship Id="rId1" Type="http://schemas.openxmlformats.org/officeDocument/2006/relationships/hyperlink" Target="https://www.conforama.fr/cuisine-salle-de-bain/meuble-de-cuisine/ensemble-table-et-chaise/ensemble-table-de-sejour-tony/p/794850" TargetMode="External"/><Relationship Id="rId6" Type="http://schemas.openxmlformats.org/officeDocument/2006/relationships/hyperlink" Target="https://www.conforama.fr/chambre-literie/literie/matelas-2-places/matelas-ressorts-140x190-cm-8-heures-fute/p/100620" TargetMode="External"/><Relationship Id="rId11" Type="http://schemas.openxmlformats.org/officeDocument/2006/relationships/hyperlink" Target="https://www.cdiscount.com/maison/entretien-maison/idmarket-meuble-wc-etagere-bois-willy-3-portes-noi/f-11783080703-idm3662897050482.html" TargetMode="External"/><Relationship Id="rId5" Type="http://schemas.openxmlformats.org/officeDocument/2006/relationships/hyperlink" Target="https://www.conforama.fr/chambre-literie/literie/sommier-et-cadre-a-lattes/cadre-a-lattes-fixe-140x190-cm-nightitude-c34-f07/p/604976" TargetMode="External"/><Relationship Id="rId10" Type="http://schemas.openxmlformats.org/officeDocument/2006/relationships/hyperlink" Target="https://www.but.fr/produits/2099901444592/Vestiaire-d-entree-ARNOLD-Noir.html" TargetMode="External"/><Relationship Id="rId4" Type="http://schemas.openxmlformats.org/officeDocument/2006/relationships/hyperlink" Target="https://www.conforama.fr/enfant-bebe/decoration-chambre-enfant/bureau-enfant/bureau-110-cm-lugano/p/783297" TargetMode="External"/><Relationship Id="rId9" Type="http://schemas.openxmlformats.org/officeDocument/2006/relationships/hyperlink" Target="https://www.conforama.fr/chambre-literie/chambre-adulte/lit-adulte/lit-adulte-140x190-cm-watson/p/76389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997ED-D37D-4F1D-9D2C-DF49B982F68B}">
  <sheetPr>
    <pageSetUpPr fitToPage="1"/>
  </sheetPr>
  <dimension ref="A1:X36"/>
  <sheetViews>
    <sheetView tabSelected="1" topLeftCell="B1" zoomScale="70" zoomScaleNormal="70" workbookViewId="0">
      <pane ySplit="1" topLeftCell="A10" activePane="bottomLeft" state="frozen"/>
      <selection activeCell="B1" sqref="B1"/>
      <selection pane="bottomLeft" activeCell="X13" sqref="X13"/>
    </sheetView>
  </sheetViews>
  <sheetFormatPr baseColWidth="10" defaultColWidth="10.73046875" defaultRowHeight="14.25" x14ac:dyDescent="0.45"/>
  <cols>
    <col min="1" max="2" width="10.73046875" style="19"/>
    <col min="3" max="3" width="22.59765625" style="19" bestFit="1" customWidth="1"/>
    <col min="4" max="7" width="6.06640625" style="11" customWidth="1"/>
    <col min="8" max="8" width="6.19921875" style="11" hidden="1" customWidth="1"/>
    <col min="9" max="11" width="6.06640625" style="11" hidden="1" customWidth="1"/>
    <col min="12" max="12" width="12.9296875" style="11" customWidth="1"/>
    <col min="13" max="13" width="12.9296875" style="15" customWidth="1"/>
    <col min="14" max="14" width="10.59765625" style="18"/>
    <col min="15" max="23" width="10.73046875" style="19"/>
    <col min="24" max="24" width="65.796875" style="31" customWidth="1"/>
    <col min="25" max="16384" width="10.73046875" style="19"/>
  </cols>
  <sheetData>
    <row r="1" spans="1:24" s="1" customFormat="1" ht="15.75" x14ac:dyDescent="0.45">
      <c r="A1" s="1" t="s">
        <v>15</v>
      </c>
      <c r="B1" s="1" t="s">
        <v>28</v>
      </c>
      <c r="C1" s="2" t="s">
        <v>45</v>
      </c>
      <c r="D1" s="3" t="s">
        <v>8</v>
      </c>
      <c r="E1" s="3" t="s">
        <v>7</v>
      </c>
      <c r="F1" s="3" t="s">
        <v>6</v>
      </c>
      <c r="G1" s="3" t="s">
        <v>9</v>
      </c>
      <c r="H1" s="4" t="s">
        <v>8</v>
      </c>
      <c r="I1" s="3" t="s">
        <v>7</v>
      </c>
      <c r="J1" s="3" t="s">
        <v>6</v>
      </c>
      <c r="K1" s="5" t="s">
        <v>9</v>
      </c>
      <c r="L1" s="3" t="s">
        <v>34</v>
      </c>
      <c r="M1" s="6" t="s">
        <v>42</v>
      </c>
      <c r="N1" s="7" t="s">
        <v>12</v>
      </c>
      <c r="O1" s="8">
        <f>-30%</f>
        <v>-0.3</v>
      </c>
      <c r="P1" s="8">
        <v>-0.4</v>
      </c>
      <c r="Q1" s="8">
        <v>-0.5</v>
      </c>
      <c r="R1" s="8">
        <v>-0.6</v>
      </c>
      <c r="S1" s="1" t="s">
        <v>38</v>
      </c>
      <c r="T1" s="1" t="s">
        <v>39</v>
      </c>
      <c r="U1" s="1" t="s">
        <v>46</v>
      </c>
      <c r="V1" s="1" t="s">
        <v>47</v>
      </c>
      <c r="W1" s="1" t="s">
        <v>40</v>
      </c>
      <c r="X1" s="29" t="s">
        <v>43</v>
      </c>
    </row>
    <row r="2" spans="1:24" ht="42" x14ac:dyDescent="0.45">
      <c r="A2" s="9" t="s">
        <v>16</v>
      </c>
      <c r="B2" s="9" t="s">
        <v>29</v>
      </c>
      <c r="C2" s="10" t="s">
        <v>0</v>
      </c>
      <c r="D2" s="11">
        <v>100</v>
      </c>
      <c r="E2" s="11">
        <v>60</v>
      </c>
      <c r="F2" s="11">
        <v>45</v>
      </c>
      <c r="G2" s="12">
        <f t="shared" ref="G2:G13" si="0">(F2*E2*D2)/1000000</f>
        <v>0.27</v>
      </c>
      <c r="H2" s="13">
        <v>100</v>
      </c>
      <c r="I2" s="11">
        <v>60</v>
      </c>
      <c r="J2" s="11">
        <v>45</v>
      </c>
      <c r="K2" s="14">
        <f t="shared" ref="K2" si="1">(J2*I2*H2)/1000000</f>
        <v>0.27</v>
      </c>
      <c r="L2" s="12" t="s">
        <v>35</v>
      </c>
      <c r="M2" s="15">
        <v>46054.000983796293</v>
      </c>
      <c r="N2" s="16">
        <v>150</v>
      </c>
      <c r="O2" s="17">
        <f t="shared" ref="O2:R13" si="2">$N2*(100%+O$1)</f>
        <v>105</v>
      </c>
      <c r="P2" s="17">
        <f t="shared" si="2"/>
        <v>90</v>
      </c>
      <c r="Q2" s="17">
        <f t="shared" si="2"/>
        <v>75</v>
      </c>
      <c r="R2" s="17">
        <f t="shared" si="2"/>
        <v>60</v>
      </c>
      <c r="S2" s="18">
        <f>ROUND(P2,0)</f>
        <v>90</v>
      </c>
      <c r="T2" s="19" t="s">
        <v>41</v>
      </c>
      <c r="W2" s="19">
        <v>5</v>
      </c>
      <c r="X2" s="30" t="s">
        <v>50</v>
      </c>
    </row>
    <row r="3" spans="1:24" ht="105" x14ac:dyDescent="0.45">
      <c r="A3" s="9" t="s">
        <v>17</v>
      </c>
      <c r="B3" s="9" t="s">
        <v>29</v>
      </c>
      <c r="C3" s="10" t="s">
        <v>1</v>
      </c>
      <c r="D3" s="11">
        <v>155</v>
      </c>
      <c r="E3" s="11">
        <v>40</v>
      </c>
      <c r="F3" s="11">
        <v>43</v>
      </c>
      <c r="G3" s="12">
        <f>(F3*E3*D3)/1000000</f>
        <v>0.2666</v>
      </c>
      <c r="H3" s="13">
        <v>155</v>
      </c>
      <c r="I3" s="11">
        <v>40</v>
      </c>
      <c r="J3" s="11">
        <v>43</v>
      </c>
      <c r="K3" s="14">
        <f>(J3*I3*H3)/1000000</f>
        <v>0.2666</v>
      </c>
      <c r="L3" s="12" t="s">
        <v>35</v>
      </c>
      <c r="M3" s="15">
        <v>46054.000983796293</v>
      </c>
      <c r="N3" s="16">
        <v>100</v>
      </c>
      <c r="O3" s="17">
        <f t="shared" si="2"/>
        <v>70</v>
      </c>
      <c r="P3" s="17">
        <f t="shared" si="2"/>
        <v>60</v>
      </c>
      <c r="Q3" s="17">
        <f t="shared" si="2"/>
        <v>50</v>
      </c>
      <c r="R3" s="17">
        <f t="shared" si="2"/>
        <v>40</v>
      </c>
      <c r="S3" s="18">
        <f t="shared" ref="S3:S13" si="3">ROUND(P3,0)</f>
        <v>60</v>
      </c>
      <c r="T3" s="19" t="s">
        <v>41</v>
      </c>
      <c r="W3" s="19">
        <v>6</v>
      </c>
      <c r="X3" s="30" t="s">
        <v>51</v>
      </c>
    </row>
    <row r="4" spans="1:24" ht="178.5" x14ac:dyDescent="0.45">
      <c r="A4" s="9" t="s">
        <v>18</v>
      </c>
      <c r="B4" s="9" t="s">
        <v>30</v>
      </c>
      <c r="C4" s="10" t="s">
        <v>14</v>
      </c>
      <c r="D4" s="11">
        <v>120</v>
      </c>
      <c r="E4" s="11">
        <v>80</v>
      </c>
      <c r="F4" s="11">
        <v>75</v>
      </c>
      <c r="G4" s="12">
        <f t="shared" si="0"/>
        <v>0.72</v>
      </c>
      <c r="H4" s="13">
        <v>120</v>
      </c>
      <c r="I4" s="11">
        <v>80</v>
      </c>
      <c r="J4" s="11">
        <v>75</v>
      </c>
      <c r="K4" s="14">
        <f t="shared" ref="K4:K12" si="4">(J4*I4*H4)/1000000</f>
        <v>0.72</v>
      </c>
      <c r="L4" s="12" t="s">
        <v>35</v>
      </c>
      <c r="M4" s="15">
        <v>46054.000983796293</v>
      </c>
      <c r="N4" s="16">
        <v>199</v>
      </c>
      <c r="O4" s="17">
        <f t="shared" si="2"/>
        <v>139.29999999999998</v>
      </c>
      <c r="P4" s="17">
        <f t="shared" si="2"/>
        <v>119.39999999999999</v>
      </c>
      <c r="Q4" s="17">
        <f t="shared" si="2"/>
        <v>99.5</v>
      </c>
      <c r="R4" s="17">
        <f t="shared" si="2"/>
        <v>79.600000000000009</v>
      </c>
      <c r="S4" s="18">
        <f t="shared" si="3"/>
        <v>119</v>
      </c>
      <c r="T4" s="19" t="s">
        <v>41</v>
      </c>
      <c r="W4" s="19">
        <v>7</v>
      </c>
      <c r="X4" s="30" t="s">
        <v>52</v>
      </c>
    </row>
    <row r="5" spans="1:24" ht="115.5" x14ac:dyDescent="0.45">
      <c r="A5" s="9" t="s">
        <v>19</v>
      </c>
      <c r="B5" s="9" t="s">
        <v>30</v>
      </c>
      <c r="C5" s="10" t="s">
        <v>11</v>
      </c>
      <c r="D5" s="11">
        <v>40</v>
      </c>
      <c r="E5" s="11">
        <v>75</v>
      </c>
      <c r="F5" s="11">
        <v>81</v>
      </c>
      <c r="G5" s="12">
        <f t="shared" si="0"/>
        <v>0.24299999999999999</v>
      </c>
      <c r="H5" s="13">
        <v>40</v>
      </c>
      <c r="I5" s="11">
        <v>75</v>
      </c>
      <c r="J5" s="11">
        <v>81</v>
      </c>
      <c r="K5" s="14">
        <f t="shared" si="4"/>
        <v>0.24299999999999999</v>
      </c>
      <c r="L5" s="12" t="s">
        <v>36</v>
      </c>
      <c r="M5" s="15">
        <v>45901.000983796293</v>
      </c>
      <c r="N5" s="16">
        <v>90</v>
      </c>
      <c r="O5" s="17">
        <f t="shared" si="2"/>
        <v>62.999999999999993</v>
      </c>
      <c r="P5" s="17">
        <f t="shared" si="2"/>
        <v>54</v>
      </c>
      <c r="Q5" s="17">
        <f t="shared" si="2"/>
        <v>45</v>
      </c>
      <c r="R5" s="17">
        <f t="shared" si="2"/>
        <v>36</v>
      </c>
      <c r="S5" s="18">
        <f t="shared" si="3"/>
        <v>54</v>
      </c>
      <c r="T5" s="19" t="s">
        <v>41</v>
      </c>
      <c r="W5" s="19">
        <v>9</v>
      </c>
      <c r="X5" s="30" t="s">
        <v>53</v>
      </c>
    </row>
    <row r="6" spans="1:24" ht="115.5" x14ac:dyDescent="0.45">
      <c r="A6" s="9" t="s">
        <v>20</v>
      </c>
      <c r="B6" s="9" t="s">
        <v>2</v>
      </c>
      <c r="C6" s="10" t="s">
        <v>2</v>
      </c>
      <c r="D6" s="11">
        <v>110</v>
      </c>
      <c r="E6" s="11">
        <v>55</v>
      </c>
      <c r="F6" s="11">
        <v>77</v>
      </c>
      <c r="G6" s="12">
        <f t="shared" si="0"/>
        <v>0.46584999999999999</v>
      </c>
      <c r="H6" s="13">
        <v>110</v>
      </c>
      <c r="I6" s="11">
        <v>55</v>
      </c>
      <c r="J6" s="11">
        <v>77</v>
      </c>
      <c r="K6" s="14">
        <f t="shared" si="4"/>
        <v>0.46584999999999999</v>
      </c>
      <c r="L6" s="12" t="s">
        <v>35</v>
      </c>
      <c r="M6" s="15">
        <v>46054.000983796293</v>
      </c>
      <c r="N6" s="16">
        <v>200</v>
      </c>
      <c r="O6" s="17">
        <f t="shared" si="2"/>
        <v>140</v>
      </c>
      <c r="P6" s="17">
        <f t="shared" si="2"/>
        <v>120</v>
      </c>
      <c r="Q6" s="17">
        <f t="shared" si="2"/>
        <v>100</v>
      </c>
      <c r="R6" s="17">
        <f t="shared" si="2"/>
        <v>80</v>
      </c>
      <c r="S6" s="18">
        <f t="shared" si="3"/>
        <v>120</v>
      </c>
      <c r="T6" s="19" t="s">
        <v>41</v>
      </c>
      <c r="W6" s="19">
        <v>6</v>
      </c>
      <c r="X6" s="30" t="s">
        <v>54</v>
      </c>
    </row>
    <row r="7" spans="1:24" ht="115.5" x14ac:dyDescent="0.45">
      <c r="A7" s="9" t="s">
        <v>21</v>
      </c>
      <c r="B7" s="9" t="s">
        <v>31</v>
      </c>
      <c r="C7" s="10" t="s">
        <v>3</v>
      </c>
      <c r="D7" s="11">
        <v>195</v>
      </c>
      <c r="E7" s="11">
        <v>149</v>
      </c>
      <c r="F7" s="11">
        <v>72</v>
      </c>
      <c r="G7" s="12">
        <f t="shared" si="0"/>
        <v>2.0919599999999998</v>
      </c>
      <c r="H7" s="13">
        <v>195</v>
      </c>
      <c r="I7" s="11">
        <v>50</v>
      </c>
      <c r="J7" s="11">
        <v>1</v>
      </c>
      <c r="K7" s="14">
        <f t="shared" si="4"/>
        <v>9.75E-3</v>
      </c>
      <c r="L7" s="12" t="s">
        <v>37</v>
      </c>
      <c r="M7" s="15">
        <v>46054.000983796293</v>
      </c>
      <c r="N7" s="16">
        <v>100</v>
      </c>
      <c r="O7" s="17">
        <f t="shared" si="2"/>
        <v>70</v>
      </c>
      <c r="P7" s="17">
        <f t="shared" si="2"/>
        <v>60</v>
      </c>
      <c r="Q7" s="17">
        <f t="shared" si="2"/>
        <v>50</v>
      </c>
      <c r="R7" s="17">
        <f t="shared" si="2"/>
        <v>40</v>
      </c>
      <c r="S7" s="18">
        <f t="shared" si="3"/>
        <v>60</v>
      </c>
      <c r="T7" s="19" t="s">
        <v>41</v>
      </c>
      <c r="W7" s="19">
        <v>9</v>
      </c>
      <c r="X7" s="30" t="s">
        <v>55</v>
      </c>
    </row>
    <row r="8" spans="1:24" ht="52.5" x14ac:dyDescent="0.45">
      <c r="A8" s="9" t="s">
        <v>22</v>
      </c>
      <c r="B8" s="9" t="s">
        <v>31</v>
      </c>
      <c r="C8" s="10" t="s">
        <v>48</v>
      </c>
      <c r="D8" s="11">
        <v>35</v>
      </c>
      <c r="E8" s="11">
        <v>40</v>
      </c>
      <c r="F8" s="11">
        <v>32</v>
      </c>
      <c r="G8" s="12">
        <f t="shared" si="0"/>
        <v>4.48E-2</v>
      </c>
      <c r="H8" s="11">
        <v>35</v>
      </c>
      <c r="I8" s="11">
        <v>40</v>
      </c>
      <c r="J8" s="11">
        <v>32</v>
      </c>
      <c r="K8" s="14">
        <f t="shared" si="4"/>
        <v>4.48E-2</v>
      </c>
      <c r="L8" s="12" t="s">
        <v>35</v>
      </c>
      <c r="M8" s="15">
        <v>46054.000983796293</v>
      </c>
      <c r="N8" s="16">
        <v>70</v>
      </c>
      <c r="O8" s="17">
        <f t="shared" si="2"/>
        <v>49</v>
      </c>
      <c r="P8" s="17">
        <f t="shared" si="2"/>
        <v>42</v>
      </c>
      <c r="Q8" s="17">
        <f t="shared" si="2"/>
        <v>35</v>
      </c>
      <c r="R8" s="17">
        <f t="shared" si="2"/>
        <v>28</v>
      </c>
      <c r="S8" s="18">
        <f t="shared" si="3"/>
        <v>42</v>
      </c>
      <c r="T8" s="19" t="s">
        <v>41</v>
      </c>
      <c r="W8" s="19">
        <v>7</v>
      </c>
      <c r="X8" s="30" t="s">
        <v>56</v>
      </c>
    </row>
    <row r="9" spans="1:24" ht="126" x14ac:dyDescent="0.45">
      <c r="A9" s="9" t="s">
        <v>23</v>
      </c>
      <c r="B9" s="9" t="s">
        <v>31</v>
      </c>
      <c r="C9" s="10" t="s">
        <v>5</v>
      </c>
      <c r="D9" s="11">
        <v>190</v>
      </c>
      <c r="E9" s="11">
        <v>140</v>
      </c>
      <c r="F9" s="11">
        <v>21</v>
      </c>
      <c r="G9" s="12">
        <f t="shared" si="0"/>
        <v>0.55859999999999999</v>
      </c>
      <c r="H9" s="13">
        <v>190</v>
      </c>
      <c r="I9" s="11">
        <v>140</v>
      </c>
      <c r="J9" s="11">
        <v>21</v>
      </c>
      <c r="K9" s="14">
        <f t="shared" si="4"/>
        <v>0.55859999999999999</v>
      </c>
      <c r="L9" s="12" t="s">
        <v>37</v>
      </c>
      <c r="M9" s="15">
        <v>46054.000983796293</v>
      </c>
      <c r="N9" s="16">
        <v>300</v>
      </c>
      <c r="O9" s="17">
        <f t="shared" si="2"/>
        <v>210</v>
      </c>
      <c r="P9" s="17">
        <f t="shared" si="2"/>
        <v>180</v>
      </c>
      <c r="Q9" s="17">
        <f t="shared" si="2"/>
        <v>150</v>
      </c>
      <c r="R9" s="17">
        <f t="shared" si="2"/>
        <v>120</v>
      </c>
      <c r="S9" s="18">
        <f t="shared" si="3"/>
        <v>180</v>
      </c>
      <c r="T9" s="19" t="s">
        <v>41</v>
      </c>
      <c r="W9" s="19">
        <v>7</v>
      </c>
      <c r="X9" s="30" t="s">
        <v>57</v>
      </c>
    </row>
    <row r="10" spans="1:24" ht="147" x14ac:dyDescent="0.45">
      <c r="A10" s="9" t="s">
        <v>24</v>
      </c>
      <c r="B10" s="9" t="s">
        <v>31</v>
      </c>
      <c r="C10" s="10" t="s">
        <v>10</v>
      </c>
      <c r="D10" s="11">
        <v>190</v>
      </c>
      <c r="E10" s="11">
        <v>140</v>
      </c>
      <c r="F10" s="11">
        <v>5</v>
      </c>
      <c r="G10" s="12">
        <f t="shared" si="0"/>
        <v>0.13300000000000001</v>
      </c>
      <c r="H10" s="13">
        <v>190</v>
      </c>
      <c r="I10" s="11">
        <v>140</v>
      </c>
      <c r="J10" s="11">
        <v>5</v>
      </c>
      <c r="K10" s="14">
        <f t="shared" si="4"/>
        <v>0.13300000000000001</v>
      </c>
      <c r="L10" s="12" t="s">
        <v>35</v>
      </c>
      <c r="M10" s="15">
        <v>46054.000983796293</v>
      </c>
      <c r="N10" s="16">
        <v>140</v>
      </c>
      <c r="O10" s="17">
        <f t="shared" si="2"/>
        <v>98</v>
      </c>
      <c r="P10" s="17">
        <f t="shared" si="2"/>
        <v>84</v>
      </c>
      <c r="Q10" s="17">
        <f t="shared" si="2"/>
        <v>70</v>
      </c>
      <c r="R10" s="17">
        <f t="shared" si="2"/>
        <v>56</v>
      </c>
      <c r="S10" s="18">
        <f t="shared" si="3"/>
        <v>84</v>
      </c>
      <c r="T10" s="19" t="s">
        <v>41</v>
      </c>
      <c r="W10" s="19">
        <v>1</v>
      </c>
      <c r="X10" s="30" t="s">
        <v>58</v>
      </c>
    </row>
    <row r="11" spans="1:24" ht="115.5" x14ac:dyDescent="0.45">
      <c r="A11" s="9" t="s">
        <v>25</v>
      </c>
      <c r="B11" s="9" t="s">
        <v>31</v>
      </c>
      <c r="C11" s="10" t="s">
        <v>44</v>
      </c>
      <c r="D11" s="11">
        <v>52</v>
      </c>
      <c r="E11" s="11">
        <v>134</v>
      </c>
      <c r="F11" s="11">
        <v>192</v>
      </c>
      <c r="G11" s="12">
        <f t="shared" si="0"/>
        <v>1.3378559999999999</v>
      </c>
      <c r="H11" s="13">
        <v>52</v>
      </c>
      <c r="I11" s="11">
        <v>134</v>
      </c>
      <c r="J11" s="11">
        <v>192</v>
      </c>
      <c r="K11" s="14">
        <f t="shared" si="4"/>
        <v>1.3378559999999999</v>
      </c>
      <c r="L11" s="12" t="s">
        <v>35</v>
      </c>
      <c r="M11" s="15">
        <v>46054.000983796293</v>
      </c>
      <c r="N11" s="16">
        <v>250</v>
      </c>
      <c r="O11" s="17">
        <f t="shared" si="2"/>
        <v>175</v>
      </c>
      <c r="P11" s="17">
        <f t="shared" si="2"/>
        <v>150</v>
      </c>
      <c r="Q11" s="17">
        <f t="shared" si="2"/>
        <v>125</v>
      </c>
      <c r="R11" s="17">
        <f t="shared" si="2"/>
        <v>100</v>
      </c>
      <c r="S11" s="18">
        <f t="shared" si="3"/>
        <v>150</v>
      </c>
      <c r="T11" s="19" t="s">
        <v>41</v>
      </c>
      <c r="W11" s="19">
        <v>8</v>
      </c>
      <c r="X11" s="30" t="s">
        <v>59</v>
      </c>
    </row>
    <row r="12" spans="1:24" ht="73.5" x14ac:dyDescent="0.45">
      <c r="A12" s="9" t="s">
        <v>26</v>
      </c>
      <c r="B12" s="9" t="s">
        <v>32</v>
      </c>
      <c r="C12" s="10" t="s">
        <v>4</v>
      </c>
      <c r="D12" s="11">
        <v>70</v>
      </c>
      <c r="E12" s="11">
        <v>33</v>
      </c>
      <c r="F12" s="11">
        <v>180</v>
      </c>
      <c r="G12" s="12">
        <f t="shared" si="0"/>
        <v>0.4158</v>
      </c>
      <c r="H12" s="13">
        <v>70</v>
      </c>
      <c r="I12" s="11">
        <v>33</v>
      </c>
      <c r="J12" s="11">
        <v>180</v>
      </c>
      <c r="K12" s="14">
        <f t="shared" si="4"/>
        <v>0.4158</v>
      </c>
      <c r="L12" s="12" t="s">
        <v>35</v>
      </c>
      <c r="M12" s="15">
        <v>46054.000983796293</v>
      </c>
      <c r="N12" s="16">
        <v>70</v>
      </c>
      <c r="O12" s="17">
        <f t="shared" si="2"/>
        <v>49</v>
      </c>
      <c r="P12" s="17">
        <f t="shared" si="2"/>
        <v>42</v>
      </c>
      <c r="Q12" s="17">
        <f t="shared" si="2"/>
        <v>35</v>
      </c>
      <c r="R12" s="17">
        <f t="shared" si="2"/>
        <v>28</v>
      </c>
      <c r="S12" s="18">
        <f t="shared" si="3"/>
        <v>42</v>
      </c>
      <c r="T12" s="19" t="s">
        <v>41</v>
      </c>
      <c r="W12" s="19">
        <v>4</v>
      </c>
      <c r="X12" s="30" t="s">
        <v>60</v>
      </c>
    </row>
    <row r="13" spans="1:24" ht="31.5" x14ac:dyDescent="0.45">
      <c r="A13" s="9" t="s">
        <v>27</v>
      </c>
      <c r="B13" s="9" t="s">
        <v>33</v>
      </c>
      <c r="C13" s="10" t="s">
        <v>49</v>
      </c>
      <c r="D13" s="11">
        <v>33</v>
      </c>
      <c r="E13" s="11">
        <v>15</v>
      </c>
      <c r="F13" s="11">
        <v>136</v>
      </c>
      <c r="G13" s="12">
        <f t="shared" si="0"/>
        <v>6.7320000000000005E-2</v>
      </c>
      <c r="H13" s="13"/>
      <c r="K13" s="14"/>
      <c r="L13" s="12" t="s">
        <v>35</v>
      </c>
      <c r="M13" s="15">
        <v>46054.000983796293</v>
      </c>
      <c r="N13" s="16">
        <f>23*2</f>
        <v>46</v>
      </c>
      <c r="O13" s="17">
        <f t="shared" si="2"/>
        <v>32.199999999999996</v>
      </c>
      <c r="P13" s="17">
        <f t="shared" si="2"/>
        <v>27.599999999999998</v>
      </c>
      <c r="Q13" s="17">
        <f t="shared" si="2"/>
        <v>23</v>
      </c>
      <c r="R13" s="17">
        <f t="shared" si="2"/>
        <v>18.400000000000002</v>
      </c>
      <c r="S13" s="18">
        <f t="shared" si="3"/>
        <v>28</v>
      </c>
      <c r="T13" s="19" t="s">
        <v>41</v>
      </c>
      <c r="W13" s="19">
        <v>4</v>
      </c>
      <c r="X13" s="30" t="s">
        <v>61</v>
      </c>
    </row>
    <row r="14" spans="1:24" x14ac:dyDescent="0.45">
      <c r="C14" s="20"/>
      <c r="D14" s="21"/>
      <c r="E14" s="21"/>
      <c r="F14" s="21"/>
      <c r="G14" s="22">
        <f>SUM(G2:G13)</f>
        <v>6.6147860000000005</v>
      </c>
      <c r="H14" s="23"/>
      <c r="I14" s="21"/>
      <c r="J14" s="21"/>
      <c r="K14" s="24">
        <f>SUM(K2:K12)</f>
        <v>4.4652559999999992</v>
      </c>
      <c r="L14" s="22"/>
      <c r="M14" s="25"/>
      <c r="N14" s="26">
        <f t="shared" ref="N14:S14" si="5">SUM(N2:N13)</f>
        <v>1715</v>
      </c>
      <c r="O14" s="27">
        <f t="shared" si="5"/>
        <v>1200.5</v>
      </c>
      <c r="P14" s="27">
        <f t="shared" si="5"/>
        <v>1029</v>
      </c>
      <c r="Q14" s="27">
        <f t="shared" si="5"/>
        <v>857.5</v>
      </c>
      <c r="R14" s="27">
        <f t="shared" si="5"/>
        <v>686</v>
      </c>
      <c r="S14" s="18">
        <f t="shared" si="5"/>
        <v>1029</v>
      </c>
    </row>
    <row r="15" spans="1:24" hidden="1" x14ac:dyDescent="0.45">
      <c r="C15" s="28" t="s">
        <v>13</v>
      </c>
      <c r="N15" s="18">
        <v>100</v>
      </c>
      <c r="S15" s="18">
        <f t="shared" ref="S15:S33" si="6">O15</f>
        <v>0</v>
      </c>
    </row>
    <row r="16" spans="1:24" hidden="1" x14ac:dyDescent="0.45">
      <c r="K16" s="11">
        <v>1</v>
      </c>
      <c r="N16" s="18">
        <f t="shared" ref="N16:N33" si="7">+$N$15*(K16-1)</f>
        <v>0</v>
      </c>
      <c r="O16" s="18">
        <f t="shared" ref="O16:R27" si="8">O$14-$N16</f>
        <v>1200.5</v>
      </c>
      <c r="P16" s="18">
        <f t="shared" si="8"/>
        <v>1029</v>
      </c>
      <c r="Q16" s="18">
        <f t="shared" si="8"/>
        <v>857.5</v>
      </c>
      <c r="R16" s="18">
        <f t="shared" si="8"/>
        <v>686</v>
      </c>
      <c r="S16" s="18">
        <f t="shared" si="6"/>
        <v>1200.5</v>
      </c>
    </row>
    <row r="17" spans="11:19" hidden="1" x14ac:dyDescent="0.45">
      <c r="K17" s="11">
        <v>2</v>
      </c>
      <c r="N17" s="18">
        <f t="shared" si="7"/>
        <v>100</v>
      </c>
      <c r="O17" s="18">
        <f t="shared" si="8"/>
        <v>1100.5</v>
      </c>
      <c r="P17" s="18">
        <f t="shared" si="8"/>
        <v>929</v>
      </c>
      <c r="Q17" s="18">
        <f t="shared" si="8"/>
        <v>757.5</v>
      </c>
      <c r="R17" s="18">
        <f t="shared" si="8"/>
        <v>586</v>
      </c>
      <c r="S17" s="18">
        <f t="shared" si="6"/>
        <v>1100.5</v>
      </c>
    </row>
    <row r="18" spans="11:19" hidden="1" x14ac:dyDescent="0.45">
      <c r="K18" s="11">
        <v>3</v>
      </c>
      <c r="N18" s="18">
        <f t="shared" si="7"/>
        <v>200</v>
      </c>
      <c r="O18" s="18">
        <f t="shared" si="8"/>
        <v>1000.5</v>
      </c>
      <c r="P18" s="18">
        <f t="shared" si="8"/>
        <v>829</v>
      </c>
      <c r="Q18" s="18">
        <f t="shared" si="8"/>
        <v>657.5</v>
      </c>
      <c r="R18" s="18">
        <f t="shared" si="8"/>
        <v>486</v>
      </c>
      <c r="S18" s="18">
        <f t="shared" si="6"/>
        <v>1000.5</v>
      </c>
    </row>
    <row r="19" spans="11:19" hidden="1" x14ac:dyDescent="0.45">
      <c r="K19" s="11">
        <v>4</v>
      </c>
      <c r="N19" s="18">
        <f t="shared" si="7"/>
        <v>300</v>
      </c>
      <c r="O19" s="18">
        <f t="shared" si="8"/>
        <v>900.5</v>
      </c>
      <c r="P19" s="18">
        <f t="shared" si="8"/>
        <v>729</v>
      </c>
      <c r="Q19" s="18">
        <f t="shared" si="8"/>
        <v>557.5</v>
      </c>
      <c r="R19" s="18">
        <f t="shared" si="8"/>
        <v>386</v>
      </c>
      <c r="S19" s="18">
        <f t="shared" si="6"/>
        <v>900.5</v>
      </c>
    </row>
    <row r="20" spans="11:19" hidden="1" x14ac:dyDescent="0.45">
      <c r="K20" s="11">
        <v>5</v>
      </c>
      <c r="N20" s="18">
        <f t="shared" si="7"/>
        <v>400</v>
      </c>
      <c r="O20" s="18">
        <f t="shared" si="8"/>
        <v>800.5</v>
      </c>
      <c r="P20" s="18">
        <f t="shared" si="8"/>
        <v>629</v>
      </c>
      <c r="Q20" s="18">
        <f t="shared" si="8"/>
        <v>457.5</v>
      </c>
      <c r="R20" s="18">
        <f t="shared" si="8"/>
        <v>286</v>
      </c>
      <c r="S20" s="18">
        <f t="shared" si="6"/>
        <v>800.5</v>
      </c>
    </row>
    <row r="21" spans="11:19" hidden="1" x14ac:dyDescent="0.45">
      <c r="K21" s="11">
        <v>6</v>
      </c>
      <c r="N21" s="18">
        <f t="shared" si="7"/>
        <v>500</v>
      </c>
      <c r="O21" s="18">
        <f t="shared" si="8"/>
        <v>700.5</v>
      </c>
      <c r="P21" s="18">
        <f t="shared" si="8"/>
        <v>529</v>
      </c>
      <c r="Q21" s="18">
        <f t="shared" si="8"/>
        <v>357.5</v>
      </c>
      <c r="R21" s="18">
        <f t="shared" si="8"/>
        <v>186</v>
      </c>
      <c r="S21" s="18">
        <f t="shared" si="6"/>
        <v>700.5</v>
      </c>
    </row>
    <row r="22" spans="11:19" hidden="1" x14ac:dyDescent="0.45">
      <c r="K22" s="11">
        <v>7</v>
      </c>
      <c r="N22" s="18">
        <f t="shared" si="7"/>
        <v>600</v>
      </c>
      <c r="O22" s="18">
        <f t="shared" si="8"/>
        <v>600.5</v>
      </c>
      <c r="P22" s="18">
        <f t="shared" si="8"/>
        <v>429</v>
      </c>
      <c r="Q22" s="18">
        <f t="shared" si="8"/>
        <v>257.5</v>
      </c>
      <c r="R22" s="18">
        <f t="shared" si="8"/>
        <v>86</v>
      </c>
      <c r="S22" s="18">
        <f t="shared" si="6"/>
        <v>600.5</v>
      </c>
    </row>
    <row r="23" spans="11:19" hidden="1" x14ac:dyDescent="0.45">
      <c r="K23" s="11">
        <v>8</v>
      </c>
      <c r="N23" s="18">
        <f t="shared" si="7"/>
        <v>700</v>
      </c>
      <c r="O23" s="18">
        <f t="shared" si="8"/>
        <v>500.5</v>
      </c>
      <c r="P23" s="18">
        <f t="shared" si="8"/>
        <v>329</v>
      </c>
      <c r="Q23" s="18">
        <f t="shared" si="8"/>
        <v>157.5</v>
      </c>
      <c r="R23" s="18">
        <f t="shared" si="8"/>
        <v>-14</v>
      </c>
      <c r="S23" s="18">
        <f t="shared" si="6"/>
        <v>500.5</v>
      </c>
    </row>
    <row r="24" spans="11:19" hidden="1" x14ac:dyDescent="0.45">
      <c r="K24" s="11">
        <v>9</v>
      </c>
      <c r="N24" s="18">
        <f t="shared" si="7"/>
        <v>800</v>
      </c>
      <c r="O24" s="18">
        <f t="shared" si="8"/>
        <v>400.5</v>
      </c>
      <c r="P24" s="18">
        <f t="shared" si="8"/>
        <v>229</v>
      </c>
      <c r="Q24" s="18">
        <f t="shared" si="8"/>
        <v>57.5</v>
      </c>
      <c r="R24" s="18">
        <f t="shared" si="8"/>
        <v>-114</v>
      </c>
      <c r="S24" s="18">
        <f t="shared" si="6"/>
        <v>400.5</v>
      </c>
    </row>
    <row r="25" spans="11:19" hidden="1" x14ac:dyDescent="0.45">
      <c r="K25" s="11">
        <v>10</v>
      </c>
      <c r="N25" s="18">
        <f t="shared" si="7"/>
        <v>900</v>
      </c>
      <c r="O25" s="18">
        <f t="shared" si="8"/>
        <v>300.5</v>
      </c>
      <c r="P25" s="18">
        <f t="shared" si="8"/>
        <v>129</v>
      </c>
      <c r="Q25" s="18">
        <f t="shared" si="8"/>
        <v>-42.5</v>
      </c>
      <c r="R25" s="18">
        <f t="shared" si="8"/>
        <v>-214</v>
      </c>
      <c r="S25" s="18">
        <f t="shared" si="6"/>
        <v>300.5</v>
      </c>
    </row>
    <row r="26" spans="11:19" hidden="1" x14ac:dyDescent="0.45">
      <c r="K26" s="11">
        <v>11</v>
      </c>
      <c r="N26" s="18">
        <f t="shared" si="7"/>
        <v>1000</v>
      </c>
      <c r="O26" s="18">
        <f t="shared" si="8"/>
        <v>200.5</v>
      </c>
      <c r="P26" s="18">
        <f t="shared" si="8"/>
        <v>29</v>
      </c>
      <c r="Q26" s="18">
        <f t="shared" si="8"/>
        <v>-142.5</v>
      </c>
      <c r="R26" s="18">
        <f t="shared" si="8"/>
        <v>-314</v>
      </c>
      <c r="S26" s="18">
        <f t="shared" si="6"/>
        <v>200.5</v>
      </c>
    </row>
    <row r="27" spans="11:19" hidden="1" x14ac:dyDescent="0.45">
      <c r="K27" s="11">
        <v>12</v>
      </c>
      <c r="N27" s="18">
        <f t="shared" si="7"/>
        <v>1100</v>
      </c>
      <c r="O27" s="18">
        <f t="shared" si="8"/>
        <v>100.5</v>
      </c>
      <c r="P27" s="18">
        <f t="shared" si="8"/>
        <v>-71</v>
      </c>
      <c r="Q27" s="18">
        <f t="shared" si="8"/>
        <v>-242.5</v>
      </c>
      <c r="R27" s="18">
        <f t="shared" si="8"/>
        <v>-414</v>
      </c>
      <c r="S27" s="18">
        <f t="shared" si="6"/>
        <v>100.5</v>
      </c>
    </row>
    <row r="28" spans="11:19" hidden="1" x14ac:dyDescent="0.45">
      <c r="K28" s="11">
        <v>13</v>
      </c>
      <c r="N28" s="18">
        <f t="shared" si="7"/>
        <v>1200</v>
      </c>
      <c r="O28" s="18">
        <f t="shared" ref="O28:Q30" si="9">O$14-$N28</f>
        <v>0.5</v>
      </c>
      <c r="P28" s="18">
        <f t="shared" si="9"/>
        <v>-171</v>
      </c>
      <c r="Q28" s="18">
        <f t="shared" si="9"/>
        <v>-342.5</v>
      </c>
      <c r="R28" s="18"/>
      <c r="S28" s="18">
        <f t="shared" si="6"/>
        <v>0.5</v>
      </c>
    </row>
    <row r="29" spans="11:19" hidden="1" x14ac:dyDescent="0.45">
      <c r="K29" s="11">
        <v>14</v>
      </c>
      <c r="N29" s="18">
        <f t="shared" si="7"/>
        <v>1300</v>
      </c>
      <c r="O29" s="18">
        <f t="shared" si="9"/>
        <v>-99.5</v>
      </c>
      <c r="P29" s="18">
        <f t="shared" si="9"/>
        <v>-271</v>
      </c>
      <c r="Q29" s="18">
        <f t="shared" si="9"/>
        <v>-442.5</v>
      </c>
      <c r="R29" s="18"/>
      <c r="S29" s="18">
        <f t="shared" si="6"/>
        <v>-99.5</v>
      </c>
    </row>
    <row r="30" spans="11:19" hidden="1" x14ac:dyDescent="0.45">
      <c r="K30" s="11">
        <v>15</v>
      </c>
      <c r="N30" s="18">
        <f t="shared" si="7"/>
        <v>1400</v>
      </c>
      <c r="O30" s="18">
        <f t="shared" si="9"/>
        <v>-199.5</v>
      </c>
      <c r="P30" s="18">
        <f t="shared" si="9"/>
        <v>-371</v>
      </c>
      <c r="Q30" s="18">
        <f t="shared" si="9"/>
        <v>-542.5</v>
      </c>
      <c r="R30" s="18"/>
      <c r="S30" s="18">
        <f t="shared" si="6"/>
        <v>-199.5</v>
      </c>
    </row>
    <row r="31" spans="11:19" hidden="1" x14ac:dyDescent="0.45">
      <c r="K31" s="11">
        <v>16</v>
      </c>
      <c r="N31" s="18">
        <f t="shared" si="7"/>
        <v>1500</v>
      </c>
      <c r="O31" s="18">
        <f t="shared" ref="O31:P33" si="10">O$14-$N31</f>
        <v>-299.5</v>
      </c>
      <c r="P31" s="18">
        <f t="shared" si="10"/>
        <v>-471</v>
      </c>
      <c r="Q31" s="18"/>
      <c r="R31" s="18"/>
      <c r="S31" s="18">
        <f t="shared" si="6"/>
        <v>-299.5</v>
      </c>
    </row>
    <row r="32" spans="11:19" hidden="1" x14ac:dyDescent="0.45">
      <c r="K32" s="11">
        <v>17</v>
      </c>
      <c r="N32" s="18">
        <f t="shared" si="7"/>
        <v>1600</v>
      </c>
      <c r="O32" s="18">
        <f t="shared" si="10"/>
        <v>-399.5</v>
      </c>
      <c r="P32" s="18">
        <f t="shared" si="10"/>
        <v>-571</v>
      </c>
      <c r="Q32" s="18"/>
      <c r="R32" s="18"/>
      <c r="S32" s="18">
        <f t="shared" si="6"/>
        <v>-399.5</v>
      </c>
    </row>
    <row r="33" spans="11:19" hidden="1" x14ac:dyDescent="0.45">
      <c r="K33" s="11">
        <v>18</v>
      </c>
      <c r="N33" s="18">
        <f t="shared" si="7"/>
        <v>1700</v>
      </c>
      <c r="O33" s="18">
        <f t="shared" si="10"/>
        <v>-499.5</v>
      </c>
      <c r="P33" s="18">
        <f t="shared" si="10"/>
        <v>-671</v>
      </c>
      <c r="Q33" s="18"/>
      <c r="R33" s="18"/>
      <c r="S33" s="18">
        <f t="shared" si="6"/>
        <v>-499.5</v>
      </c>
    </row>
    <row r="34" spans="11:19" hidden="1" x14ac:dyDescent="0.45"/>
    <row r="35" spans="11:19" hidden="1" x14ac:dyDescent="0.45"/>
    <row r="36" spans="11:19" hidden="1" x14ac:dyDescent="0.45"/>
  </sheetData>
  <phoneticPr fontId="3" type="noConversion"/>
  <hyperlinks>
    <hyperlink ref="C4" r:id="rId1" xr:uid="{C62995D2-FF24-443D-BA8A-7875E387AEAD}"/>
    <hyperlink ref="C3" r:id="rId2" xr:uid="{8F536EEE-E19C-4DAD-A73B-FB6F92DC253D}"/>
    <hyperlink ref="C11" r:id="rId3" display="Garde robe" xr:uid="{A4DA1E62-7C24-431D-96B4-77E773792DD1}"/>
    <hyperlink ref="C6" r:id="rId4" xr:uid="{5DDDA6C2-FF4C-4274-91B6-EE910F03562F}"/>
    <hyperlink ref="C10" r:id="rId5" xr:uid="{235AF5DF-1A27-4BB0-9A7C-ADB0B0242746}"/>
    <hyperlink ref="C9" r:id="rId6" xr:uid="{9C96060A-FFF0-403E-A39F-41CB58008F6F}"/>
    <hyperlink ref="C8" r:id="rId7" display="Chevet X 2" xr:uid="{6DD40177-1F9F-46DF-B987-10D13DCD288A}"/>
    <hyperlink ref="C5" r:id="rId8" xr:uid="{D56B75CE-365D-4830-8DE4-13DB07FE500C}"/>
    <hyperlink ref="C7" r:id="rId9" xr:uid="{7D3BD571-9C5F-48C0-AF7D-2B1FDBF97605}"/>
    <hyperlink ref="C12" r:id="rId10" xr:uid="{1788A570-CCDD-4388-A268-98E26BB3F5F3}"/>
    <hyperlink ref="C13" r:id="rId11" xr:uid="{C491221A-10A9-44FC-9AE4-F50A15B65ADE}"/>
    <hyperlink ref="C2" r:id="rId12" xr:uid="{ACF81FB8-A756-4EC8-A0D3-30EDF1462BCF}"/>
  </hyperlinks>
  <pageMargins left="0.7" right="0.7" top="0.75" bottom="0.75" header="0.3" footer="0.3"/>
  <pageSetup paperSize="9" orientation="landscape"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Meubles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Anne-Christine BOILEAU</dc:creator>
  <cp:lastModifiedBy>Anne-Christine BOILEAU</cp:lastModifiedBy>
  <cp:lastPrinted>2026-07-17T07:31:21Z</cp:lastPrinted>
  <dcterms:created xsi:type="dcterms:W3CDTF">2026-07-17T06:09:02Z</dcterms:created>
  <dcterms:modified xsi:type="dcterms:W3CDTF">2026-08-18T11:20:55Z</dcterms:modified>
</cp:coreProperties>
</file>