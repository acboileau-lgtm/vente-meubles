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8_{2BE34F60-0A3D-4870-87D9-3470A734B303}" xr6:coauthVersionLast="47" xr6:coauthVersionMax="47" xr10:uidLastSave="{00000000-0000-0000-0000-000000000000}"/>
  <bookViews>
    <workbookView xWindow="-98" yWindow="-98" windowWidth="21795" windowHeight="12975" xr2:uid="{FD343005-4382-4935-A274-266D1E9B84BE}"/>
  </bookViews>
  <sheets>
    <sheet name="Feuil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15" i="1" l="1"/>
  <c r="S16" i="1"/>
  <c r="O1" i="1"/>
  <c r="O3" i="1"/>
  <c r="S3" i="1"/>
  <c r="O14" i="1"/>
  <c r="O13" i="1"/>
  <c r="S13" i="1" s="1"/>
  <c r="O12" i="1"/>
  <c r="S12" i="1"/>
  <c r="O11" i="1"/>
  <c r="S11" i="1"/>
  <c r="O10" i="1"/>
  <c r="S10" i="1"/>
  <c r="O9" i="1"/>
  <c r="S9" i="1"/>
  <c r="N18" i="1"/>
  <c r="N19" i="1"/>
  <c r="N20" i="1"/>
  <c r="N21" i="1"/>
  <c r="N22" i="1"/>
  <c r="N23" i="1"/>
  <c r="N24" i="1"/>
  <c r="N25" i="1"/>
  <c r="N26" i="1"/>
  <c r="N27" i="1"/>
  <c r="N28" i="1"/>
  <c r="N29" i="1"/>
  <c r="N30" i="1"/>
  <c r="N31" i="1"/>
  <c r="N32" i="1"/>
  <c r="N33" i="1"/>
  <c r="N34" i="1"/>
  <c r="N17" i="1"/>
  <c r="R14" i="1"/>
  <c r="R13" i="1"/>
  <c r="R12" i="1"/>
  <c r="R11" i="1"/>
  <c r="R10" i="1"/>
  <c r="R9" i="1"/>
  <c r="R8" i="1"/>
  <c r="R7" i="1"/>
  <c r="R6" i="1"/>
  <c r="R5" i="1"/>
  <c r="R15" i="1" s="1"/>
  <c r="R4" i="1"/>
  <c r="R3" i="1"/>
  <c r="R2" i="1"/>
  <c r="Q14" i="1"/>
  <c r="Q13" i="1"/>
  <c r="Q12" i="1"/>
  <c r="Q11" i="1"/>
  <c r="Q10" i="1"/>
  <c r="Q9" i="1"/>
  <c r="Q8" i="1"/>
  <c r="Q7" i="1"/>
  <c r="Q6" i="1"/>
  <c r="Q5" i="1"/>
  <c r="Q4" i="1"/>
  <c r="Q3" i="1"/>
  <c r="Q2" i="1"/>
  <c r="Q15" i="1" s="1"/>
  <c r="P3" i="1"/>
  <c r="P4" i="1"/>
  <c r="P5" i="1"/>
  <c r="P6" i="1"/>
  <c r="P7" i="1"/>
  <c r="P8" i="1"/>
  <c r="P15" i="1" s="1"/>
  <c r="P9" i="1"/>
  <c r="P10" i="1"/>
  <c r="P11" i="1"/>
  <c r="P12" i="1"/>
  <c r="P13" i="1"/>
  <c r="P14" i="1"/>
  <c r="P2" i="1"/>
  <c r="K9" i="1"/>
  <c r="G9" i="1"/>
  <c r="N15" i="1"/>
  <c r="K13" i="1"/>
  <c r="K12" i="1"/>
  <c r="K11" i="1"/>
  <c r="K10" i="1"/>
  <c r="K8" i="1"/>
  <c r="K7" i="1"/>
  <c r="K6" i="1"/>
  <c r="K5" i="1"/>
  <c r="K4" i="1"/>
  <c r="K3" i="1"/>
  <c r="K2" i="1"/>
  <c r="K15" i="1" s="1"/>
  <c r="G8" i="1"/>
  <c r="G6" i="1"/>
  <c r="G11" i="1"/>
  <c r="G5" i="1"/>
  <c r="G7" i="1"/>
  <c r="G10" i="1"/>
  <c r="G12" i="1"/>
  <c r="G13" i="1"/>
  <c r="G2" i="1"/>
  <c r="G3" i="1"/>
  <c r="G15" i="1" s="1"/>
  <c r="G4" i="1"/>
  <c r="O4" i="1"/>
  <c r="S4" i="1"/>
  <c r="O5" i="1"/>
  <c r="O6" i="1"/>
  <c r="S6" i="1"/>
  <c r="O7" i="1"/>
  <c r="S7" i="1"/>
  <c r="O8" i="1"/>
  <c r="S8" i="1"/>
  <c r="O2" i="1"/>
  <c r="S2" i="1"/>
  <c r="O15" i="1"/>
  <c r="O24" i="1" s="1"/>
  <c r="S24" i="1" s="1"/>
  <c r="P25" i="1" l="1"/>
  <c r="P28" i="1"/>
  <c r="P30" i="1"/>
  <c r="P32" i="1"/>
  <c r="P18" i="1"/>
  <c r="P21" i="1"/>
  <c r="P20" i="1"/>
  <c r="P24" i="1"/>
  <c r="P26" i="1"/>
  <c r="P31" i="1"/>
  <c r="P34" i="1"/>
  <c r="P23" i="1"/>
  <c r="P22" i="1"/>
  <c r="P17" i="1"/>
  <c r="P33" i="1"/>
  <c r="P19" i="1"/>
  <c r="P27" i="1"/>
  <c r="P29" i="1"/>
  <c r="R28" i="1"/>
  <c r="R24" i="1"/>
  <c r="R27" i="1"/>
  <c r="R23" i="1"/>
  <c r="R19" i="1"/>
  <c r="R25" i="1"/>
  <c r="R26" i="1"/>
  <c r="R18" i="1"/>
  <c r="R21" i="1"/>
  <c r="R22" i="1"/>
  <c r="R20" i="1"/>
  <c r="R17" i="1"/>
  <c r="Q24" i="1"/>
  <c r="Q22" i="1"/>
  <c r="Q29" i="1"/>
  <c r="Q28" i="1"/>
  <c r="Q27" i="1"/>
  <c r="Q25" i="1"/>
  <c r="Q30" i="1"/>
  <c r="Q21" i="1"/>
  <c r="Q26" i="1"/>
  <c r="Q23" i="1"/>
  <c r="Q20" i="1"/>
  <c r="Q18" i="1"/>
  <c r="Q19" i="1"/>
  <c r="Q31" i="1"/>
  <c r="Q17" i="1"/>
  <c r="O26" i="1"/>
  <c r="S26" i="1" s="1"/>
  <c r="O22" i="1"/>
  <c r="S22" i="1" s="1"/>
  <c r="O21" i="1"/>
  <c r="S21" i="1" s="1"/>
  <c r="O20" i="1"/>
  <c r="S20" i="1" s="1"/>
  <c r="O23" i="1"/>
  <c r="S23" i="1" s="1"/>
  <c r="O25" i="1"/>
  <c r="S25" i="1" s="1"/>
  <c r="O17" i="1"/>
  <c r="S17" i="1" s="1"/>
  <c r="O33" i="1"/>
  <c r="S33" i="1" s="1"/>
  <c r="O30" i="1"/>
  <c r="S30" i="1" s="1"/>
  <c r="O29" i="1"/>
  <c r="S29" i="1" s="1"/>
  <c r="O27" i="1"/>
  <c r="S27" i="1" s="1"/>
  <c r="O18" i="1"/>
  <c r="S18" i="1" s="1"/>
  <c r="O28" i="1"/>
  <c r="S28" i="1" s="1"/>
  <c r="O31" i="1"/>
  <c r="S31" i="1" s="1"/>
  <c r="O19" i="1"/>
  <c r="S19" i="1" s="1"/>
  <c r="O32" i="1"/>
  <c r="S32" i="1" s="1"/>
  <c r="O34" i="1"/>
  <c r="S34" i="1" s="1"/>
</calcChain>
</file>

<file path=xl/sharedStrings.xml><?xml version="1.0" encoding="utf-8"?>
<sst xmlns="http://schemas.openxmlformats.org/spreadsheetml/2006/main" count="97" uniqueCount="64">
  <si>
    <t>Meuble</t>
  </si>
  <si>
    <t>Canapé</t>
  </si>
  <si>
    <t>Table salon</t>
  </si>
  <si>
    <t>Meuble TV</t>
  </si>
  <si>
    <t>Bureau</t>
  </si>
  <si>
    <t>Lit</t>
  </si>
  <si>
    <t>Meuble Entrée</t>
  </si>
  <si>
    <t>Matelas</t>
  </si>
  <si>
    <t>Haut</t>
  </si>
  <si>
    <t>Larg</t>
  </si>
  <si>
    <t>Long</t>
  </si>
  <si>
    <r>
      <t>en m</t>
    </r>
    <r>
      <rPr>
        <vertAlign val="superscript"/>
        <sz val="11"/>
        <color theme="1"/>
        <rFont val="Aptos Narrow"/>
        <family val="2"/>
        <scheme val="minor"/>
      </rPr>
      <t>3</t>
    </r>
  </si>
  <si>
    <t>Sommier</t>
  </si>
  <si>
    <t>Desserte cuisine</t>
  </si>
  <si>
    <t>Prix neuf</t>
  </si>
  <si>
    <t>Meuble WC x 2</t>
  </si>
  <si>
    <t>Chevet X 2</t>
  </si>
  <si>
    <t>BOX (par mois)</t>
  </si>
  <si>
    <t>Table de sejour +4 Chaises</t>
  </si>
  <si>
    <t>Ref</t>
  </si>
  <si>
    <t>001</t>
  </si>
  <si>
    <t>002</t>
  </si>
  <si>
    <t>003</t>
  </si>
  <si>
    <t>004</t>
  </si>
  <si>
    <t>005</t>
  </si>
  <si>
    <t>006</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</si>
  <si>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</si>
  <si>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</si>
  <si>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</si>
  <si>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</si>
  <si>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</si>
  <si>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</si>
  <si>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</si>
  <si>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</si>
  <si>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</si>
  <si>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</si>
  <si>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</si>
  <si>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</si>
  <si>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</si>
  <si>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</si>
  <si>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</si>
  <si>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</si>
  <si>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</si>
  <si>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</si>
  <si>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</si>
  <si>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</si>
  <si>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</si>
  <si>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</si>
  <si>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</si>
  <si>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Réservé</t>
  </si>
  <si>
    <t>Armoire 3 portes battantes</t>
  </si>
  <si>
    <t>Lot de 2 meubles WC 2 portes avec étagères design industriel
Son style moderne et ses lignes sobres créeront une ambiance chaleureuse et un esprit "factory" très tendance !
Le mélange entre le coloris naturel du bois et le noir de sa structure en métal apportera une touche industrielle pour un esprit loft à votre intérieur.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Dimensions du meuble WC 2 portes avec étagères
Dimensions globales : Longueur 18 cm x largeur 30 cm x Hauteur 119 cm
Placard du haut : L. 12,5 x l. 29 x H. 19 cm
Placard du bas : L. 12,5 x l. 29 x H.36,5 cm</t>
  </si>
  <si>
    <t>Un pratique vestiaire multi-usages
Idéal dans l'entrée pour suspendre les vestes et les manteaux ou déposer les sacs et les chapeaux, le vestiaire d'entrée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t>
  </si>
  <si>
    <t>Canapé droit convertible 3 places Tissu Gris
Revêtement en tissu velours côtelé. Sa couleur grise neutre permet de l'associer facilement avec d'autres éléments de décoration, créant ainsi un espace de vie accueillant et chaleureux.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Avec ses dimensions généreuses de largeur 198 cm, hauteur 89 cm et profondeur 99 cm, le canapé s'adapte parfaitement aux espaces de vie modernes. Son coloris gris, à la fois sobre et élégant, s'harmonise avec une multitude de styles de décoration.</t>
  </si>
  <si>
    <t>Table basse de salon, multifonctionnelle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t>
  </si>
  <si>
    <t>Meuble TV 155 cm
Coloris chêne et noir qui s'intègre parfaitement dans un intérieur au style industriel.
Son design bicolore, associant le chêne jackson et le noir, apporte une touche de modernité et de sophistication à votre salon.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t>
  </si>
  <si>
    <t>Ensemble table rectangulaire 4 chaises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Destiné à un usage intérieur, l'ensemble table et chaises TONY s'adresse aux foyers souhaitant optimiser leur espace tout en bénéficiant d'un mobilier au design contemporain.</t>
  </si>
  <si>
    <t>Desserte cuisine au design moderne.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Cette mobilité est idéale pour ajuster la desserte en fonction de vos besoins, que ce soit pour cuisiner ou pour servir vos invités.
Destinée à un usage intérieur.
Dimensions compactes (largeur de 75 cm, hauteur de 80,7 cm, profondeur de 40 cm) et un poids total de 20,9 kg.</t>
  </si>
  <si>
    <t>Bureau 110 cm coloris Chêne artisan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Conçu avec un panneau de particules recouvert de papier décor, il allie robustesse et esthétique.
Ce bureau est équipé d'une porte et d'une niche, offrant des solutions de rangement pratiques pour les fournitures et les petits objets personnels.
Avec ses dimensions compactes, le Bureau mesure 110 cm de longueur, 77 cm de hauteur et 55,5 cm de profondeur, ce qui en fait un choix parfait pour les chambres d'enfants ou petit bureau où l'espace est précieux. Son poids total de 39 kg assure une stabilité optimale, garantissant ainsi une utilisation sécurisée.</t>
  </si>
  <si>
    <t>Cadre de lit 2 places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Sa structure est conçue en panneau de particules de 15 et 18 mm, assurant robustesse et durabilité. 
Bien que vendu sans sommier ni matelas, ce lit offre une base solide pour accueillir le couchage de votre choix. 
Dimensions de couchage de 140x190 cm. 
Avec une longueur de 194,7 cm, une largeur de 148,3 cm et une hauteur de 71,7 cm, il s'intègre facilement dans la plupart des espaces.</t>
  </si>
  <si>
    <t>Lot de 2 Chevets
Chevet 1 tiroir,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t>
  </si>
  <si>
    <t>Matelas 140x190 cm 8 HEURES FUTE : Confort et soutien optimal fabriqué en France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t>
  </si>
  <si>
    <t>Cadre à lattes fixe 140x190 cm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t>
  </si>
  <si>
    <t>Armoire 3 portes battantes
Elle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</si>
</sst>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40C]mmm\-yy;@"/>
  </numFmts>
  <fonts count="4"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0" fontId="0" fillId="2" borderId="0" xfId="0" applyFill="1" applyAlignment="1">
      <alignment vertical="top"/>
    </xf>
    <xf numFmtId="0" fontId="0" fillId="2" borderId="9" xfId="0" applyFill="1" applyBorder="1" applyAlignment="1">
      <alignment vertical="top"/>
    </xf>
    <xf numFmtId="0" fontId="0" fillId="2" borderId="0" xfId="0" applyFill="1" applyAlignment="1">
      <alignment horizontal="center" vertical="top"/>
    </xf>
    <xf numFmtId="0" fontId="0" fillId="2" borderId="3" xfId="0" applyFill="1" applyBorder="1" applyAlignment="1">
      <alignment horizontal="center" vertical="top"/>
    </xf>
    <xf numFmtId="0" fontId="0" fillId="2" borderId="4" xfId="0" applyFill="1" applyBorder="1" applyAlignment="1">
      <alignment horizontal="center" vertical="top"/>
    </xf>
    <xf numFmtId="165" fontId="0" fillId="2" borderId="0" xfId="0" applyNumberFormat="1" applyFill="1" applyAlignment="1">
      <alignment horizontal="center" vertical="top"/>
    </xf>
    <xf numFmtId="164" fontId="0" fillId="0" borderId="2" xfId="0" applyNumberFormat="1" applyBorder="1" applyAlignment="1">
      <alignment vertical="top"/>
    </xf>
    <xf numFmtId="9" fontId="0" fillId="0" borderId="8" xfId="0" quotePrefix="1" applyNumberFormat="1" applyBorder="1" applyAlignment="1">
      <alignment vertical="top"/>
    </xf>
    <xf numFmtId="49" fontId="0" fillId="0" borderId="0" xfId="0" quotePrefix="1" applyNumberFormat="1" applyAlignment="1">
      <alignment vertical="top"/>
    </xf>
    <xf numFmtId="0" fontId="2" fillId="0" borderId="9"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0" fontId="0" fillId="0" borderId="3" xfId="0" applyBorder="1" applyAlignment="1">
      <alignment horizontal="center" vertical="top"/>
    </xf>
    <xf numFmtId="2" fontId="0" fillId="0" borderId="4" xfId="0" applyNumberFormat="1" applyBorder="1" applyAlignment="1">
      <alignment horizontal="center" vertical="top"/>
    </xf>
    <xf numFmtId="165" fontId="0" fillId="0" borderId="0" xfId="0" applyNumberFormat="1" applyAlignment="1">
      <alignment horizontal="center" vertical="top"/>
    </xf>
    <xf numFmtId="164" fontId="0" fillId="0" borderId="3" xfId="0" applyNumberFormat="1" applyBorder="1" applyAlignment="1">
      <alignment vertical="top"/>
    </xf>
    <xf numFmtId="164" fontId="0" fillId="0" borderId="9"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0" fillId="0" borderId="1" xfId="0" applyBorder="1" applyAlignment="1">
      <alignment vertical="top"/>
    </xf>
    <xf numFmtId="0" fontId="0" fillId="0" borderId="6" xfId="0" applyBorder="1" applyAlignment="1">
      <alignment horizontal="center" vertical="top"/>
    </xf>
    <xf numFmtId="2" fontId="0" fillId="0" borderId="6" xfId="0" applyNumberFormat="1" applyBorder="1" applyAlignment="1">
      <alignment horizontal="center" vertical="top"/>
    </xf>
    <xf numFmtId="0" fontId="0" fillId="0" borderId="5" xfId="0" applyBorder="1" applyAlignment="1">
      <alignment horizontal="center" vertical="top"/>
    </xf>
    <xf numFmtId="2" fontId="0" fillId="0" borderId="7" xfId="0" applyNumberFormat="1" applyBorder="1" applyAlignment="1">
      <alignment horizontal="center" vertical="top"/>
    </xf>
    <xf numFmtId="165" fontId="0" fillId="0" borderId="6" xfId="0" applyNumberFormat="1" applyBorder="1" applyAlignment="1">
      <alignment horizontal="center" vertical="top"/>
    </xf>
    <xf numFmtId="164" fontId="0" fillId="0" borderId="5"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0" fontId="3" fillId="2" borderId="0" xfId="0" applyFont="1" applyFill="1" applyAlignment="1">
      <alignment vertical="top"/>
    </xf>
    <xf numFmtId="0" fontId="3" fillId="0" borderId="0" xfId="0" applyFont="1" applyAlignment="1">
      <alignment vertical="top" wrapText="1"/>
    </xf>
    <xf numFmtId="0" fontId="3" fillId="0" borderId="0" xfId="0" applyFont="1" applyAlignment="1">
      <alignmen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but.fr/produits/4894223218450/Table-basse-plateau-relevable-VINCENTE-Imitation-chene-noir.html?searchTerm=(autocompl%C3%A9tion)&amp;searchCategory=Recherche%20assist%C3%A9e%20Produit"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but.fr/produits/2099901444592/Vestiaire-d-entree-ARNOLD-Noir.html" TargetMode="External"/><Relationship Id="rId5" Type="http://schemas.openxmlformats.org/officeDocument/2006/relationships/hyperlink" Target="https://www.conforama.fr/enfant-bebe/decoration-chambre-enfant/bureau-enfant/bureau-110-cm-lugano/p/783297" TargetMode="External"/><Relationship Id="rId10" Type="http://schemas.openxmlformats.org/officeDocument/2006/relationships/hyperlink" Target="https://www.conforama.fr/chambre-literie/chambre-adulte/lit-adulte/lit-adulte-140x190-cm-watson/p/763891"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cuisine-salle-de-bain/meuble-de-cuisine/meuble-micro-ondes-et-desserte/desserte-fumay-2/p/750063"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V37"/>
  <sheetViews>
    <sheetView tabSelected="1" topLeftCell="A12" zoomScale="70" zoomScaleNormal="70" workbookViewId="0">
      <selection activeCell="O42" sqref="O42"/>
    </sheetView>
  </sheetViews>
  <sheetFormatPr baseColWidth="10" defaultColWidth="10.73046875" defaultRowHeight="14.25" x14ac:dyDescent="0.45"/>
  <cols>
    <col min="1" max="2" width="10.73046875" style="19"/>
    <col min="3" max="3" width="22.59765625" style="19" bestFit="1" customWidth="1"/>
    <col min="4" max="7" width="6.06640625" style="11" customWidth="1"/>
    <col min="8" max="8" width="6.19921875" style="11" hidden="1" customWidth="1"/>
    <col min="9" max="11" width="6.06640625" style="11" hidden="1" customWidth="1"/>
    <col min="12" max="12" width="12.9296875" style="11" customWidth="1"/>
    <col min="13" max="13" width="12.9296875" style="15" customWidth="1"/>
    <col min="14" max="14" width="10.59765625" style="18"/>
    <col min="15" max="21" width="10.73046875" style="19"/>
    <col min="22" max="22" width="65.796875" style="31" customWidth="1"/>
    <col min="23" max="16384" width="10.73046875" style="19"/>
  </cols>
  <sheetData>
    <row r="1" spans="1:22" s="1" customFormat="1" ht="15.75" x14ac:dyDescent="0.45">
      <c r="A1" s="1" t="s">
        <v>19</v>
      </c>
      <c r="B1" s="1" t="s">
        <v>33</v>
      </c>
      <c r="C1" s="2" t="s">
        <v>0</v>
      </c>
      <c r="D1" s="3" t="s">
        <v>10</v>
      </c>
      <c r="E1" s="3" t="s">
        <v>9</v>
      </c>
      <c r="F1" s="3" t="s">
        <v>8</v>
      </c>
      <c r="G1" s="3" t="s">
        <v>11</v>
      </c>
      <c r="H1" s="4" t="s">
        <v>10</v>
      </c>
      <c r="I1" s="3" t="s">
        <v>9</v>
      </c>
      <c r="J1" s="3" t="s">
        <v>8</v>
      </c>
      <c r="K1" s="5" t="s">
        <v>11</v>
      </c>
      <c r="L1" s="3" t="s">
        <v>39</v>
      </c>
      <c r="M1" s="6" t="s">
        <v>47</v>
      </c>
      <c r="N1" s="7" t="s">
        <v>14</v>
      </c>
      <c r="O1" s="8">
        <f>-30%</f>
        <v>-0.3</v>
      </c>
      <c r="P1" s="8">
        <v>-0.4</v>
      </c>
      <c r="Q1" s="8">
        <v>-0.5</v>
      </c>
      <c r="R1" s="8">
        <v>-0.6</v>
      </c>
      <c r="S1" s="1" t="s">
        <v>43</v>
      </c>
      <c r="T1" s="1" t="s">
        <v>44</v>
      </c>
      <c r="U1" s="1" t="s">
        <v>45</v>
      </c>
      <c r="V1" s="29" t="s">
        <v>48</v>
      </c>
    </row>
    <row r="2" spans="1:22" ht="147" x14ac:dyDescent="0.45">
      <c r="A2" s="9" t="s">
        <v>20</v>
      </c>
      <c r="B2" s="9" t="s">
        <v>34</v>
      </c>
      <c r="C2" s="10" t="s">
        <v>1</v>
      </c>
      <c r="D2" s="11">
        <v>99</v>
      </c>
      <c r="E2" s="11">
        <v>198</v>
      </c>
      <c r="F2" s="11">
        <v>89</v>
      </c>
      <c r="G2" s="12">
        <f t="shared" ref="G2:G13" si="0">(F2*E2*D2)/1000000</f>
        <v>1.744578</v>
      </c>
      <c r="H2" s="13">
        <v>99</v>
      </c>
      <c r="I2" s="11">
        <v>198</v>
      </c>
      <c r="J2" s="11">
        <v>89</v>
      </c>
      <c r="K2" s="14">
        <f t="shared" ref="K2:K3" si="1">(J2*I2*H2)/1000000</f>
        <v>1.744578</v>
      </c>
      <c r="L2" s="12" t="s">
        <v>40</v>
      </c>
      <c r="M2" s="15">
        <v>46054.000983796293</v>
      </c>
      <c r="N2" s="16">
        <v>900</v>
      </c>
      <c r="O2" s="17">
        <f t="shared" ref="O2:R14" si="2">$N2*(100%+O$1)</f>
        <v>630</v>
      </c>
      <c r="P2" s="17">
        <f t="shared" si="2"/>
        <v>540</v>
      </c>
      <c r="Q2" s="17">
        <f t="shared" si="2"/>
        <v>450</v>
      </c>
      <c r="R2" s="17">
        <f t="shared" si="2"/>
        <v>360</v>
      </c>
      <c r="S2" s="18">
        <f>O2</f>
        <v>630</v>
      </c>
      <c r="T2" s="19" t="s">
        <v>49</v>
      </c>
      <c r="U2" s="19">
        <v>14</v>
      </c>
      <c r="V2" s="30" t="s">
        <v>53</v>
      </c>
    </row>
    <row r="3" spans="1:22" ht="94.5" x14ac:dyDescent="0.45">
      <c r="A3" s="9" t="s">
        <v>21</v>
      </c>
      <c r="B3" s="9" t="s">
        <v>34</v>
      </c>
      <c r="C3" s="10" t="s">
        <v>2</v>
      </c>
      <c r="D3" s="11">
        <v>100</v>
      </c>
      <c r="E3" s="11">
        <v>60</v>
      </c>
      <c r="F3" s="11">
        <v>45</v>
      </c>
      <c r="G3" s="12">
        <f t="shared" si="0"/>
        <v>0.27</v>
      </c>
      <c r="H3" s="13">
        <v>100</v>
      </c>
      <c r="I3" s="11">
        <v>60</v>
      </c>
      <c r="J3" s="11">
        <v>45</v>
      </c>
      <c r="K3" s="14">
        <f t="shared" si="1"/>
        <v>0.27</v>
      </c>
      <c r="L3" s="12" t="s">
        <v>40</v>
      </c>
      <c r="M3" s="15">
        <v>46054.000983796293</v>
      </c>
      <c r="N3" s="16">
        <v>150</v>
      </c>
      <c r="O3" s="17">
        <f t="shared" si="2"/>
        <v>105</v>
      </c>
      <c r="P3" s="17">
        <f t="shared" si="2"/>
        <v>90</v>
      </c>
      <c r="Q3" s="17">
        <f t="shared" si="2"/>
        <v>75</v>
      </c>
      <c r="R3" s="17">
        <f t="shared" si="2"/>
        <v>60</v>
      </c>
      <c r="S3" s="18">
        <f t="shared" ref="S3:S34" si="3">O3</f>
        <v>105</v>
      </c>
      <c r="T3" s="19" t="s">
        <v>46</v>
      </c>
      <c r="U3" s="19">
        <v>5</v>
      </c>
      <c r="V3" s="30" t="s">
        <v>54</v>
      </c>
    </row>
    <row r="4" spans="1:22" ht="168" x14ac:dyDescent="0.45">
      <c r="A4" s="9" t="s">
        <v>22</v>
      </c>
      <c r="B4" s="9" t="s">
        <v>34</v>
      </c>
      <c r="C4" s="10" t="s">
        <v>3</v>
      </c>
      <c r="D4" s="11">
        <v>155</v>
      </c>
      <c r="E4" s="11">
        <v>40</v>
      </c>
      <c r="F4" s="11">
        <v>43</v>
      </c>
      <c r="G4" s="12">
        <f>(F4*E4*D4)/1000000</f>
        <v>0.2666</v>
      </c>
      <c r="H4" s="13">
        <v>155</v>
      </c>
      <c r="I4" s="11">
        <v>40</v>
      </c>
      <c r="J4" s="11">
        <v>43</v>
      </c>
      <c r="K4" s="14">
        <f>(J4*I4*H4)/1000000</f>
        <v>0.2666</v>
      </c>
      <c r="L4" s="12" t="s">
        <v>40</v>
      </c>
      <c r="M4" s="15">
        <v>46054.000983796293</v>
      </c>
      <c r="N4" s="16">
        <v>100</v>
      </c>
      <c r="O4" s="17">
        <f t="shared" si="2"/>
        <v>70</v>
      </c>
      <c r="P4" s="17">
        <f t="shared" si="2"/>
        <v>60</v>
      </c>
      <c r="Q4" s="17">
        <f t="shared" si="2"/>
        <v>50</v>
      </c>
      <c r="R4" s="17">
        <f t="shared" si="2"/>
        <v>40</v>
      </c>
      <c r="S4" s="18">
        <f t="shared" si="3"/>
        <v>70</v>
      </c>
      <c r="T4" s="19" t="s">
        <v>46</v>
      </c>
      <c r="U4" s="19">
        <v>6</v>
      </c>
      <c r="V4" s="30" t="s">
        <v>55</v>
      </c>
    </row>
    <row r="5" spans="1:22" ht="189" x14ac:dyDescent="0.45">
      <c r="A5" s="9" t="s">
        <v>23</v>
      </c>
      <c r="B5" s="9" t="s">
        <v>35</v>
      </c>
      <c r="C5" s="10" t="s">
        <v>18</v>
      </c>
      <c r="D5" s="11">
        <v>120</v>
      </c>
      <c r="E5" s="11">
        <v>80</v>
      </c>
      <c r="F5" s="11">
        <v>75</v>
      </c>
      <c r="G5" s="12">
        <f t="shared" si="0"/>
        <v>0.72</v>
      </c>
      <c r="H5" s="13">
        <v>120</v>
      </c>
      <c r="I5" s="11">
        <v>80</v>
      </c>
      <c r="J5" s="11">
        <v>75</v>
      </c>
      <c r="K5" s="14">
        <f t="shared" ref="K5:K13" si="4">(J5*I5*H5)/1000000</f>
        <v>0.72</v>
      </c>
      <c r="L5" s="12" t="s">
        <v>40</v>
      </c>
      <c r="M5" s="15">
        <v>46054.000983796293</v>
      </c>
      <c r="N5" s="16">
        <v>199</v>
      </c>
      <c r="O5" s="17">
        <f t="shared" si="2"/>
        <v>139.29999999999998</v>
      </c>
      <c r="P5" s="17">
        <f t="shared" si="2"/>
        <v>119.39999999999999</v>
      </c>
      <c r="Q5" s="17">
        <f t="shared" si="2"/>
        <v>99.5</v>
      </c>
      <c r="R5" s="17">
        <f t="shared" si="2"/>
        <v>79.600000000000009</v>
      </c>
      <c r="S5" s="18">
        <v>139</v>
      </c>
      <c r="T5" s="19" t="s">
        <v>46</v>
      </c>
      <c r="U5" s="19">
        <v>7</v>
      </c>
      <c r="V5" s="30" t="s">
        <v>56</v>
      </c>
    </row>
    <row r="6" spans="1:22" ht="199.5" x14ac:dyDescent="0.45">
      <c r="A6" s="9" t="s">
        <v>24</v>
      </c>
      <c r="B6" s="9" t="s">
        <v>35</v>
      </c>
      <c r="C6" s="10" t="s">
        <v>13</v>
      </c>
      <c r="D6" s="11">
        <v>40</v>
      </c>
      <c r="E6" s="11">
        <v>75</v>
      </c>
      <c r="F6" s="11">
        <v>81</v>
      </c>
      <c r="G6" s="12">
        <f t="shared" si="0"/>
        <v>0.24299999999999999</v>
      </c>
      <c r="H6" s="13">
        <v>40</v>
      </c>
      <c r="I6" s="11">
        <v>75</v>
      </c>
      <c r="J6" s="11">
        <v>81</v>
      </c>
      <c r="K6" s="14">
        <f t="shared" si="4"/>
        <v>0.24299999999999999</v>
      </c>
      <c r="L6" s="12" t="s">
        <v>41</v>
      </c>
      <c r="M6" s="15">
        <v>45901.000983796293</v>
      </c>
      <c r="N6" s="16">
        <v>90</v>
      </c>
      <c r="O6" s="17">
        <f t="shared" si="2"/>
        <v>62.999999999999993</v>
      </c>
      <c r="P6" s="17">
        <f t="shared" si="2"/>
        <v>54</v>
      </c>
      <c r="Q6" s="17">
        <f t="shared" si="2"/>
        <v>45</v>
      </c>
      <c r="R6" s="17">
        <f t="shared" si="2"/>
        <v>36</v>
      </c>
      <c r="S6" s="18">
        <f t="shared" si="3"/>
        <v>62.999999999999993</v>
      </c>
      <c r="T6" s="19" t="s">
        <v>46</v>
      </c>
      <c r="U6" s="19">
        <v>9</v>
      </c>
      <c r="V6" s="30" t="s">
        <v>57</v>
      </c>
    </row>
    <row r="7" spans="1:22" ht="157.5" x14ac:dyDescent="0.45">
      <c r="A7" s="9" t="s">
        <v>25</v>
      </c>
      <c r="B7" s="9" t="s">
        <v>4</v>
      </c>
      <c r="C7" s="10" t="s">
        <v>4</v>
      </c>
      <c r="D7" s="11">
        <v>110</v>
      </c>
      <c r="E7" s="11">
        <v>55</v>
      </c>
      <c r="F7" s="11">
        <v>77</v>
      </c>
      <c r="G7" s="12">
        <f t="shared" si="0"/>
        <v>0.46584999999999999</v>
      </c>
      <c r="H7" s="13">
        <v>110</v>
      </c>
      <c r="I7" s="11">
        <v>55</v>
      </c>
      <c r="J7" s="11">
        <v>77</v>
      </c>
      <c r="K7" s="14">
        <f t="shared" si="4"/>
        <v>0.46584999999999999</v>
      </c>
      <c r="L7" s="12" t="s">
        <v>40</v>
      </c>
      <c r="M7" s="15">
        <v>46054.000983796293</v>
      </c>
      <c r="N7" s="16">
        <v>200</v>
      </c>
      <c r="O7" s="17">
        <f t="shared" si="2"/>
        <v>140</v>
      </c>
      <c r="P7" s="17">
        <f t="shared" si="2"/>
        <v>120</v>
      </c>
      <c r="Q7" s="17">
        <f t="shared" si="2"/>
        <v>100</v>
      </c>
      <c r="R7" s="17">
        <f t="shared" si="2"/>
        <v>80</v>
      </c>
      <c r="S7" s="18">
        <f t="shared" si="3"/>
        <v>140</v>
      </c>
      <c r="T7" s="19" t="s">
        <v>46</v>
      </c>
      <c r="U7" s="19">
        <v>6</v>
      </c>
      <c r="V7" s="30" t="s">
        <v>58</v>
      </c>
    </row>
    <row r="8" spans="1:22" ht="147" x14ac:dyDescent="0.45">
      <c r="A8" s="9" t="s">
        <v>26</v>
      </c>
      <c r="B8" s="9" t="s">
        <v>36</v>
      </c>
      <c r="C8" s="10" t="s">
        <v>5</v>
      </c>
      <c r="D8" s="11">
        <v>195</v>
      </c>
      <c r="E8" s="11">
        <v>149</v>
      </c>
      <c r="F8" s="11">
        <v>72</v>
      </c>
      <c r="G8" s="12">
        <f t="shared" si="0"/>
        <v>2.0919599999999998</v>
      </c>
      <c r="H8" s="13">
        <v>195</v>
      </c>
      <c r="I8" s="11">
        <v>50</v>
      </c>
      <c r="J8" s="11">
        <v>1</v>
      </c>
      <c r="K8" s="14">
        <f t="shared" si="4"/>
        <v>9.75E-3</v>
      </c>
      <c r="L8" s="12" t="s">
        <v>42</v>
      </c>
      <c r="M8" s="15">
        <v>46054.000983796293</v>
      </c>
      <c r="N8" s="16">
        <v>100</v>
      </c>
      <c r="O8" s="17">
        <f t="shared" si="2"/>
        <v>70</v>
      </c>
      <c r="P8" s="17">
        <f t="shared" si="2"/>
        <v>60</v>
      </c>
      <c r="Q8" s="17">
        <f t="shared" si="2"/>
        <v>50</v>
      </c>
      <c r="R8" s="17">
        <f t="shared" si="2"/>
        <v>40</v>
      </c>
      <c r="S8" s="18">
        <f t="shared" si="3"/>
        <v>70</v>
      </c>
      <c r="T8" s="19" t="s">
        <v>46</v>
      </c>
      <c r="U8" s="19">
        <v>9</v>
      </c>
      <c r="V8" s="30" t="s">
        <v>59</v>
      </c>
    </row>
    <row r="9" spans="1:22" ht="168" x14ac:dyDescent="0.45">
      <c r="A9" s="9" t="s">
        <v>27</v>
      </c>
      <c r="B9" s="9" t="s">
        <v>36</v>
      </c>
      <c r="C9" s="10" t="s">
        <v>16</v>
      </c>
      <c r="D9" s="11">
        <v>35</v>
      </c>
      <c r="E9" s="11">
        <v>40</v>
      </c>
      <c r="F9" s="11">
        <v>32</v>
      </c>
      <c r="G9" s="12">
        <f t="shared" si="0"/>
        <v>4.48E-2</v>
      </c>
      <c r="H9" s="11">
        <v>35</v>
      </c>
      <c r="I9" s="11">
        <v>40</v>
      </c>
      <c r="J9" s="11">
        <v>32</v>
      </c>
      <c r="K9" s="14">
        <f t="shared" si="4"/>
        <v>4.48E-2</v>
      </c>
      <c r="L9" s="12" t="s">
        <v>40</v>
      </c>
      <c r="M9" s="15">
        <v>46054.000983796293</v>
      </c>
      <c r="N9" s="16">
        <v>70</v>
      </c>
      <c r="O9" s="17">
        <f t="shared" si="2"/>
        <v>49</v>
      </c>
      <c r="P9" s="17">
        <f t="shared" si="2"/>
        <v>42</v>
      </c>
      <c r="Q9" s="17">
        <f t="shared" si="2"/>
        <v>35</v>
      </c>
      <c r="R9" s="17">
        <f t="shared" si="2"/>
        <v>28</v>
      </c>
      <c r="S9" s="18">
        <f t="shared" si="3"/>
        <v>49</v>
      </c>
      <c r="T9" s="19" t="s">
        <v>46</v>
      </c>
      <c r="U9" s="19">
        <v>7</v>
      </c>
      <c r="V9" s="30" t="s">
        <v>60</v>
      </c>
    </row>
    <row r="10" spans="1:22" ht="157.5" x14ac:dyDescent="0.45">
      <c r="A10" s="9" t="s">
        <v>28</v>
      </c>
      <c r="B10" s="9" t="s">
        <v>36</v>
      </c>
      <c r="C10" s="10" t="s">
        <v>7</v>
      </c>
      <c r="D10" s="11">
        <v>190</v>
      </c>
      <c r="E10" s="11">
        <v>140</v>
      </c>
      <c r="F10" s="11">
        <v>21</v>
      </c>
      <c r="G10" s="12">
        <f t="shared" si="0"/>
        <v>0.55859999999999999</v>
      </c>
      <c r="H10" s="13">
        <v>190</v>
      </c>
      <c r="I10" s="11">
        <v>140</v>
      </c>
      <c r="J10" s="11">
        <v>21</v>
      </c>
      <c r="K10" s="14">
        <f t="shared" si="4"/>
        <v>0.55859999999999999</v>
      </c>
      <c r="L10" s="12" t="s">
        <v>42</v>
      </c>
      <c r="M10" s="15">
        <v>46054.000983796293</v>
      </c>
      <c r="N10" s="16">
        <v>300</v>
      </c>
      <c r="O10" s="17">
        <f t="shared" si="2"/>
        <v>210</v>
      </c>
      <c r="P10" s="17">
        <f t="shared" si="2"/>
        <v>180</v>
      </c>
      <c r="Q10" s="17">
        <f t="shared" si="2"/>
        <v>150</v>
      </c>
      <c r="R10" s="17">
        <f t="shared" si="2"/>
        <v>120</v>
      </c>
      <c r="S10" s="18">
        <f t="shared" si="3"/>
        <v>210</v>
      </c>
      <c r="T10" s="19" t="s">
        <v>46</v>
      </c>
      <c r="U10" s="19">
        <v>7</v>
      </c>
      <c r="V10" s="30" t="s">
        <v>61</v>
      </c>
    </row>
    <row r="11" spans="1:22" ht="157.5" x14ac:dyDescent="0.45">
      <c r="A11" s="9" t="s">
        <v>29</v>
      </c>
      <c r="B11" s="9" t="s">
        <v>36</v>
      </c>
      <c r="C11" s="10" t="s">
        <v>12</v>
      </c>
      <c r="D11" s="11">
        <v>190</v>
      </c>
      <c r="E11" s="11">
        <v>140</v>
      </c>
      <c r="F11" s="11">
        <v>5</v>
      </c>
      <c r="G11" s="12">
        <f t="shared" si="0"/>
        <v>0.13300000000000001</v>
      </c>
      <c r="H11" s="13">
        <v>190</v>
      </c>
      <c r="I11" s="11">
        <v>140</v>
      </c>
      <c r="J11" s="11">
        <v>5</v>
      </c>
      <c r="K11" s="14">
        <f t="shared" si="4"/>
        <v>0.13300000000000001</v>
      </c>
      <c r="L11" s="12" t="s">
        <v>40</v>
      </c>
      <c r="M11" s="15">
        <v>46054.000983796293</v>
      </c>
      <c r="N11" s="16">
        <v>140</v>
      </c>
      <c r="O11" s="17">
        <f t="shared" si="2"/>
        <v>98</v>
      </c>
      <c r="P11" s="17">
        <f t="shared" si="2"/>
        <v>84</v>
      </c>
      <c r="Q11" s="17">
        <f t="shared" si="2"/>
        <v>70</v>
      </c>
      <c r="R11" s="17">
        <f t="shared" si="2"/>
        <v>56</v>
      </c>
      <c r="S11" s="18">
        <f t="shared" si="3"/>
        <v>98</v>
      </c>
      <c r="T11" s="19" t="s">
        <v>46</v>
      </c>
      <c r="U11" s="19">
        <v>1</v>
      </c>
      <c r="V11" s="30" t="s">
        <v>62</v>
      </c>
    </row>
    <row r="12" spans="1:22" ht="168" x14ac:dyDescent="0.45">
      <c r="A12" s="9" t="s">
        <v>30</v>
      </c>
      <c r="B12" s="9" t="s">
        <v>36</v>
      </c>
      <c r="C12" s="10" t="s">
        <v>50</v>
      </c>
      <c r="D12" s="11">
        <v>52</v>
      </c>
      <c r="E12" s="11">
        <v>134</v>
      </c>
      <c r="F12" s="11">
        <v>192</v>
      </c>
      <c r="G12" s="12">
        <f t="shared" si="0"/>
        <v>1.3378559999999999</v>
      </c>
      <c r="H12" s="13">
        <v>52</v>
      </c>
      <c r="I12" s="11">
        <v>134</v>
      </c>
      <c r="J12" s="11">
        <v>192</v>
      </c>
      <c r="K12" s="14">
        <f t="shared" si="4"/>
        <v>1.3378559999999999</v>
      </c>
      <c r="L12" s="12" t="s">
        <v>40</v>
      </c>
      <c r="M12" s="15">
        <v>46054.000983796293</v>
      </c>
      <c r="N12" s="16">
        <v>250</v>
      </c>
      <c r="O12" s="17">
        <f t="shared" si="2"/>
        <v>175</v>
      </c>
      <c r="P12" s="17">
        <f t="shared" si="2"/>
        <v>150</v>
      </c>
      <c r="Q12" s="17">
        <f t="shared" si="2"/>
        <v>125</v>
      </c>
      <c r="R12" s="17">
        <f t="shared" si="2"/>
        <v>100</v>
      </c>
      <c r="S12" s="18">
        <f t="shared" si="3"/>
        <v>175</v>
      </c>
      <c r="T12" s="19" t="s">
        <v>46</v>
      </c>
      <c r="U12" s="19">
        <v>8</v>
      </c>
      <c r="V12" s="30" t="s">
        <v>63</v>
      </c>
    </row>
    <row r="13" spans="1:22" ht="84" x14ac:dyDescent="0.45">
      <c r="A13" s="9" t="s">
        <v>31</v>
      </c>
      <c r="B13" s="9" t="s">
        <v>37</v>
      </c>
      <c r="C13" s="10" t="s">
        <v>6</v>
      </c>
      <c r="D13" s="11">
        <v>70</v>
      </c>
      <c r="E13" s="11">
        <v>33</v>
      </c>
      <c r="F13" s="11">
        <v>180</v>
      </c>
      <c r="G13" s="12">
        <f t="shared" si="0"/>
        <v>0.4158</v>
      </c>
      <c r="H13" s="13">
        <v>70</v>
      </c>
      <c r="I13" s="11">
        <v>33</v>
      </c>
      <c r="J13" s="11">
        <v>180</v>
      </c>
      <c r="K13" s="14">
        <f t="shared" si="4"/>
        <v>0.4158</v>
      </c>
      <c r="L13" s="12" t="s">
        <v>40</v>
      </c>
      <c r="M13" s="15">
        <v>46054.000983796293</v>
      </c>
      <c r="N13" s="16">
        <v>70</v>
      </c>
      <c r="O13" s="17">
        <f t="shared" si="2"/>
        <v>49</v>
      </c>
      <c r="P13" s="17">
        <f t="shared" si="2"/>
        <v>42</v>
      </c>
      <c r="Q13" s="17">
        <f t="shared" si="2"/>
        <v>35</v>
      </c>
      <c r="R13" s="17">
        <f t="shared" si="2"/>
        <v>28</v>
      </c>
      <c r="S13" s="18">
        <f t="shared" si="3"/>
        <v>49</v>
      </c>
      <c r="T13" s="19" t="s">
        <v>46</v>
      </c>
      <c r="U13" s="19">
        <v>4</v>
      </c>
      <c r="V13" s="30" t="s">
        <v>52</v>
      </c>
    </row>
    <row r="14" spans="1:22" ht="157.5" x14ac:dyDescent="0.45">
      <c r="A14" s="9" t="s">
        <v>32</v>
      </c>
      <c r="B14" s="9" t="s">
        <v>38</v>
      </c>
      <c r="C14" s="10" t="s">
        <v>15</v>
      </c>
      <c r="G14" s="12"/>
      <c r="H14" s="13"/>
      <c r="K14" s="14"/>
      <c r="L14" s="12" t="s">
        <v>40</v>
      </c>
      <c r="M14" s="15">
        <v>46054.000983796293</v>
      </c>
      <c r="N14" s="16">
        <v>55</v>
      </c>
      <c r="O14" s="17">
        <f t="shared" si="2"/>
        <v>38.5</v>
      </c>
      <c r="P14" s="17">
        <f t="shared" si="2"/>
        <v>33</v>
      </c>
      <c r="Q14" s="17">
        <f t="shared" si="2"/>
        <v>27.5</v>
      </c>
      <c r="R14" s="17">
        <f t="shared" si="2"/>
        <v>22</v>
      </c>
      <c r="S14" s="18">
        <v>39</v>
      </c>
      <c r="T14" s="19" t="s">
        <v>46</v>
      </c>
      <c r="U14" s="19">
        <v>6</v>
      </c>
      <c r="V14" s="30" t="s">
        <v>51</v>
      </c>
    </row>
    <row r="15" spans="1:22" x14ac:dyDescent="0.45">
      <c r="C15" s="20"/>
      <c r="D15" s="21"/>
      <c r="E15" s="21"/>
      <c r="F15" s="21"/>
      <c r="G15" s="22">
        <f>SUM(G2:G13)</f>
        <v>8.2920440000000006</v>
      </c>
      <c r="H15" s="23"/>
      <c r="I15" s="21"/>
      <c r="J15" s="21"/>
      <c r="K15" s="24">
        <f>SUM(K2:K13)</f>
        <v>6.2098339999999999</v>
      </c>
      <c r="L15" s="22"/>
      <c r="M15" s="25"/>
      <c r="N15" s="26">
        <f>SUM(N2:N14)</f>
        <v>2624</v>
      </c>
      <c r="O15" s="27">
        <f>SUM(O2:O14)</f>
        <v>1836.8</v>
      </c>
      <c r="P15" s="27">
        <f>SUM(P2:P14)</f>
        <v>1574.4</v>
      </c>
      <c r="Q15" s="27">
        <f>SUM(Q2:Q14)</f>
        <v>1312</v>
      </c>
      <c r="R15" s="27">
        <f>SUM(R2:R14)</f>
        <v>1049.5999999999999</v>
      </c>
      <c r="S15" s="18">
        <f>SUM(S2:S14)</f>
        <v>1837</v>
      </c>
    </row>
    <row r="16" spans="1:22" hidden="1" x14ac:dyDescent="0.45">
      <c r="C16" s="28" t="s">
        <v>17</v>
      </c>
      <c r="N16" s="18">
        <v>100</v>
      </c>
      <c r="S16" s="18">
        <f t="shared" si="3"/>
        <v>0</v>
      </c>
    </row>
    <row r="17" spans="11:19" hidden="1" x14ac:dyDescent="0.45">
      <c r="K17" s="11">
        <v>1</v>
      </c>
      <c r="N17" s="18">
        <f t="shared" ref="N17:N34" si="5">+$N$16*(K17-1)</f>
        <v>0</v>
      </c>
      <c r="O17" s="18">
        <f t="shared" ref="O17:R28" si="6">O$15-$N17</f>
        <v>1836.8</v>
      </c>
      <c r="P17" s="18">
        <f t="shared" si="6"/>
        <v>1574.4</v>
      </c>
      <c r="Q17" s="18">
        <f t="shared" si="6"/>
        <v>1312</v>
      </c>
      <c r="R17" s="18">
        <f t="shared" si="6"/>
        <v>1049.5999999999999</v>
      </c>
      <c r="S17" s="18">
        <f t="shared" si="3"/>
        <v>1836.8</v>
      </c>
    </row>
    <row r="18" spans="11:19" hidden="1" x14ac:dyDescent="0.45">
      <c r="K18" s="11">
        <v>2</v>
      </c>
      <c r="N18" s="18">
        <f t="shared" si="5"/>
        <v>100</v>
      </c>
      <c r="O18" s="18">
        <f t="shared" si="6"/>
        <v>1736.8</v>
      </c>
      <c r="P18" s="18">
        <f t="shared" si="6"/>
        <v>1474.4</v>
      </c>
      <c r="Q18" s="18">
        <f t="shared" si="6"/>
        <v>1212</v>
      </c>
      <c r="R18" s="18">
        <f t="shared" si="6"/>
        <v>949.59999999999991</v>
      </c>
      <c r="S18" s="18">
        <f t="shared" si="3"/>
        <v>1736.8</v>
      </c>
    </row>
    <row r="19" spans="11:19" hidden="1" x14ac:dyDescent="0.45">
      <c r="K19" s="11">
        <v>3</v>
      </c>
      <c r="N19" s="18">
        <f t="shared" si="5"/>
        <v>200</v>
      </c>
      <c r="O19" s="18">
        <f t="shared" si="6"/>
        <v>1636.8</v>
      </c>
      <c r="P19" s="18">
        <f t="shared" si="6"/>
        <v>1374.4</v>
      </c>
      <c r="Q19" s="18">
        <f t="shared" si="6"/>
        <v>1112</v>
      </c>
      <c r="R19" s="18">
        <f t="shared" si="6"/>
        <v>849.59999999999991</v>
      </c>
      <c r="S19" s="18">
        <f t="shared" si="3"/>
        <v>1636.8</v>
      </c>
    </row>
    <row r="20" spans="11:19" hidden="1" x14ac:dyDescent="0.45">
      <c r="K20" s="11">
        <v>4</v>
      </c>
      <c r="N20" s="18">
        <f t="shared" si="5"/>
        <v>300</v>
      </c>
      <c r="O20" s="18">
        <f t="shared" si="6"/>
        <v>1536.8</v>
      </c>
      <c r="P20" s="18">
        <f t="shared" si="6"/>
        <v>1274.4000000000001</v>
      </c>
      <c r="Q20" s="18">
        <f t="shared" si="6"/>
        <v>1012</v>
      </c>
      <c r="R20" s="18">
        <f t="shared" si="6"/>
        <v>749.59999999999991</v>
      </c>
      <c r="S20" s="18">
        <f t="shared" si="3"/>
        <v>1536.8</v>
      </c>
    </row>
    <row r="21" spans="11:19" hidden="1" x14ac:dyDescent="0.45">
      <c r="K21" s="11">
        <v>5</v>
      </c>
      <c r="N21" s="18">
        <f t="shared" si="5"/>
        <v>400</v>
      </c>
      <c r="O21" s="18">
        <f t="shared" si="6"/>
        <v>1436.8</v>
      </c>
      <c r="P21" s="18">
        <f t="shared" si="6"/>
        <v>1174.4000000000001</v>
      </c>
      <c r="Q21" s="18">
        <f t="shared" si="6"/>
        <v>912</v>
      </c>
      <c r="R21" s="18">
        <f t="shared" si="6"/>
        <v>649.59999999999991</v>
      </c>
      <c r="S21" s="18">
        <f t="shared" si="3"/>
        <v>1436.8</v>
      </c>
    </row>
    <row r="22" spans="11:19" hidden="1" x14ac:dyDescent="0.45">
      <c r="K22" s="11">
        <v>6</v>
      </c>
      <c r="N22" s="18">
        <f t="shared" si="5"/>
        <v>500</v>
      </c>
      <c r="O22" s="18">
        <f t="shared" si="6"/>
        <v>1336.8</v>
      </c>
      <c r="P22" s="18">
        <f t="shared" si="6"/>
        <v>1074.4000000000001</v>
      </c>
      <c r="Q22" s="18">
        <f t="shared" si="6"/>
        <v>812</v>
      </c>
      <c r="R22" s="18">
        <f t="shared" si="6"/>
        <v>549.59999999999991</v>
      </c>
      <c r="S22" s="18">
        <f t="shared" si="3"/>
        <v>1336.8</v>
      </c>
    </row>
    <row r="23" spans="11:19" hidden="1" x14ac:dyDescent="0.45">
      <c r="K23" s="11">
        <v>7</v>
      </c>
      <c r="N23" s="18">
        <f t="shared" si="5"/>
        <v>600</v>
      </c>
      <c r="O23" s="18">
        <f t="shared" si="6"/>
        <v>1236.8</v>
      </c>
      <c r="P23" s="18">
        <f t="shared" si="6"/>
        <v>974.40000000000009</v>
      </c>
      <c r="Q23" s="18">
        <f t="shared" si="6"/>
        <v>712</v>
      </c>
      <c r="R23" s="18">
        <f t="shared" si="6"/>
        <v>449.59999999999991</v>
      </c>
      <c r="S23" s="18">
        <f t="shared" si="3"/>
        <v>1236.8</v>
      </c>
    </row>
    <row r="24" spans="11:19" hidden="1" x14ac:dyDescent="0.45">
      <c r="K24" s="11">
        <v>8</v>
      </c>
      <c r="N24" s="18">
        <f t="shared" si="5"/>
        <v>700</v>
      </c>
      <c r="O24" s="18">
        <f t="shared" si="6"/>
        <v>1136.8</v>
      </c>
      <c r="P24" s="18">
        <f t="shared" si="6"/>
        <v>874.40000000000009</v>
      </c>
      <c r="Q24" s="18">
        <f t="shared" si="6"/>
        <v>612</v>
      </c>
      <c r="R24" s="18">
        <f t="shared" si="6"/>
        <v>349.59999999999991</v>
      </c>
      <c r="S24" s="18">
        <f t="shared" si="3"/>
        <v>1136.8</v>
      </c>
    </row>
    <row r="25" spans="11:19" hidden="1" x14ac:dyDescent="0.45">
      <c r="K25" s="11">
        <v>9</v>
      </c>
      <c r="N25" s="18">
        <f t="shared" si="5"/>
        <v>800</v>
      </c>
      <c r="O25" s="18">
        <f t="shared" si="6"/>
        <v>1036.8</v>
      </c>
      <c r="P25" s="18">
        <f t="shared" si="6"/>
        <v>774.40000000000009</v>
      </c>
      <c r="Q25" s="18">
        <f t="shared" si="6"/>
        <v>512</v>
      </c>
      <c r="R25" s="18">
        <f t="shared" si="6"/>
        <v>249.59999999999991</v>
      </c>
      <c r="S25" s="18">
        <f t="shared" si="3"/>
        <v>1036.8</v>
      </c>
    </row>
    <row r="26" spans="11:19" hidden="1" x14ac:dyDescent="0.45">
      <c r="K26" s="11">
        <v>10</v>
      </c>
      <c r="N26" s="18">
        <f t="shared" si="5"/>
        <v>900</v>
      </c>
      <c r="O26" s="18">
        <f t="shared" si="6"/>
        <v>936.8</v>
      </c>
      <c r="P26" s="18">
        <f t="shared" si="6"/>
        <v>674.40000000000009</v>
      </c>
      <c r="Q26" s="18">
        <f t="shared" si="6"/>
        <v>412</v>
      </c>
      <c r="R26" s="18">
        <f t="shared" si="6"/>
        <v>149.59999999999991</v>
      </c>
      <c r="S26" s="18">
        <f t="shared" si="3"/>
        <v>936.8</v>
      </c>
    </row>
    <row r="27" spans="11:19" hidden="1" x14ac:dyDescent="0.45">
      <c r="K27" s="11">
        <v>11</v>
      </c>
      <c r="N27" s="18">
        <f t="shared" si="5"/>
        <v>1000</v>
      </c>
      <c r="O27" s="18">
        <f t="shared" si="6"/>
        <v>836.8</v>
      </c>
      <c r="P27" s="18">
        <f t="shared" si="6"/>
        <v>574.40000000000009</v>
      </c>
      <c r="Q27" s="18">
        <f t="shared" si="6"/>
        <v>312</v>
      </c>
      <c r="R27" s="18">
        <f t="shared" si="6"/>
        <v>49.599999999999909</v>
      </c>
      <c r="S27" s="18">
        <f t="shared" si="3"/>
        <v>836.8</v>
      </c>
    </row>
    <row r="28" spans="11:19" hidden="1" x14ac:dyDescent="0.45">
      <c r="K28" s="11">
        <v>12</v>
      </c>
      <c r="N28" s="18">
        <f t="shared" si="5"/>
        <v>1100</v>
      </c>
      <c r="O28" s="18">
        <f t="shared" si="6"/>
        <v>736.8</v>
      </c>
      <c r="P28" s="18">
        <f t="shared" si="6"/>
        <v>474.40000000000009</v>
      </c>
      <c r="Q28" s="18">
        <f t="shared" si="6"/>
        <v>212</v>
      </c>
      <c r="R28" s="18">
        <f t="shared" si="6"/>
        <v>-50.400000000000091</v>
      </c>
      <c r="S28" s="18">
        <f t="shared" si="3"/>
        <v>736.8</v>
      </c>
    </row>
    <row r="29" spans="11:19" hidden="1" x14ac:dyDescent="0.45">
      <c r="K29" s="11">
        <v>13</v>
      </c>
      <c r="N29" s="18">
        <f t="shared" si="5"/>
        <v>1200</v>
      </c>
      <c r="O29" s="18">
        <f t="shared" ref="O29:Q31" si="7">O$15-$N29</f>
        <v>636.79999999999995</v>
      </c>
      <c r="P29" s="18">
        <f t="shared" si="7"/>
        <v>374.40000000000009</v>
      </c>
      <c r="Q29" s="18">
        <f t="shared" si="7"/>
        <v>112</v>
      </c>
      <c r="R29" s="18"/>
      <c r="S29" s="18">
        <f t="shared" si="3"/>
        <v>636.79999999999995</v>
      </c>
    </row>
    <row r="30" spans="11:19" hidden="1" x14ac:dyDescent="0.45">
      <c r="K30" s="11">
        <v>14</v>
      </c>
      <c r="N30" s="18">
        <f t="shared" si="5"/>
        <v>1300</v>
      </c>
      <c r="O30" s="18">
        <f t="shared" si="7"/>
        <v>536.79999999999995</v>
      </c>
      <c r="P30" s="18">
        <f t="shared" si="7"/>
        <v>274.40000000000009</v>
      </c>
      <c r="Q30" s="18">
        <f t="shared" si="7"/>
        <v>12</v>
      </c>
      <c r="R30" s="18"/>
      <c r="S30" s="18">
        <f t="shared" si="3"/>
        <v>536.79999999999995</v>
      </c>
    </row>
    <row r="31" spans="11:19" hidden="1" x14ac:dyDescent="0.45">
      <c r="K31" s="11">
        <v>15</v>
      </c>
      <c r="N31" s="18">
        <f t="shared" si="5"/>
        <v>1400</v>
      </c>
      <c r="O31" s="18">
        <f t="shared" si="7"/>
        <v>436.79999999999995</v>
      </c>
      <c r="P31" s="18">
        <f t="shared" si="7"/>
        <v>174.40000000000009</v>
      </c>
      <c r="Q31" s="18">
        <f t="shared" si="7"/>
        <v>-88</v>
      </c>
      <c r="R31" s="18"/>
      <c r="S31" s="18">
        <f t="shared" si="3"/>
        <v>436.79999999999995</v>
      </c>
    </row>
    <row r="32" spans="11:19" hidden="1" x14ac:dyDescent="0.45">
      <c r="K32" s="11">
        <v>16</v>
      </c>
      <c r="N32" s="18">
        <f t="shared" si="5"/>
        <v>1500</v>
      </c>
      <c r="O32" s="18">
        <f t="shared" ref="O32:P34" si="8">O$15-$N32</f>
        <v>336.79999999999995</v>
      </c>
      <c r="P32" s="18">
        <f t="shared" si="8"/>
        <v>74.400000000000091</v>
      </c>
      <c r="Q32" s="18"/>
      <c r="R32" s="18"/>
      <c r="S32" s="18">
        <f t="shared" si="3"/>
        <v>336.79999999999995</v>
      </c>
    </row>
    <row r="33" spans="11:19" hidden="1" x14ac:dyDescent="0.45">
      <c r="K33" s="11">
        <v>17</v>
      </c>
      <c r="N33" s="18">
        <f t="shared" si="5"/>
        <v>1600</v>
      </c>
      <c r="O33" s="18">
        <f t="shared" si="8"/>
        <v>236.79999999999995</v>
      </c>
      <c r="P33" s="18">
        <f t="shared" si="8"/>
        <v>-25.599999999999909</v>
      </c>
      <c r="Q33" s="18"/>
      <c r="R33" s="18"/>
      <c r="S33" s="18">
        <f t="shared" si="3"/>
        <v>236.79999999999995</v>
      </c>
    </row>
    <row r="34" spans="11:19" hidden="1" x14ac:dyDescent="0.45">
      <c r="K34" s="11">
        <v>18</v>
      </c>
      <c r="N34" s="18">
        <f t="shared" si="5"/>
        <v>1700</v>
      </c>
      <c r="O34" s="18">
        <f t="shared" si="8"/>
        <v>136.79999999999995</v>
      </c>
      <c r="P34" s="18">
        <f t="shared" si="8"/>
        <v>-125.59999999999991</v>
      </c>
      <c r="Q34" s="18"/>
      <c r="R34" s="18"/>
      <c r="S34" s="18">
        <f t="shared" si="3"/>
        <v>136.79999999999995</v>
      </c>
    </row>
    <row r="35" spans="11:19" hidden="1" x14ac:dyDescent="0.45"/>
    <row r="36" spans="11:19" hidden="1" x14ac:dyDescent="0.45"/>
    <row r="37" spans="11:19" hidden="1" x14ac:dyDescent="0.45"/>
  </sheetData>
  <phoneticPr fontId="3" type="noConversion"/>
  <hyperlinks>
    <hyperlink ref="C5" r:id="rId1" xr:uid="{C62995D2-FF24-443D-BA8A-7875E387AEAD}"/>
    <hyperlink ref="C4" r:id="rId2" xr:uid="{8F536EEE-E19C-4DAD-A73B-FB6F92DC253D}"/>
    <hyperlink ref="C2" r:id="rId3" xr:uid="{D1565B12-7A98-4B4D-B0B5-D76BC5CFD936}"/>
    <hyperlink ref="C12" r:id="rId4" display="Garde robe" xr:uid="{A4DA1E62-7C24-431D-96B4-77E773792DD1}"/>
    <hyperlink ref="C7" r:id="rId5" xr:uid="{5DDDA6C2-FF4C-4274-91B6-EE910F03562F}"/>
    <hyperlink ref="C11" r:id="rId6" xr:uid="{235AF5DF-1A27-4BB0-9A7C-ADB0B0242746}"/>
    <hyperlink ref="C10" r:id="rId7" xr:uid="{9C96060A-FFF0-403E-A39F-41CB58008F6F}"/>
    <hyperlink ref="C9" r:id="rId8" xr:uid="{6DD40177-1F9F-46DF-B987-10D13DCD288A}"/>
    <hyperlink ref="C6" r:id="rId9" xr:uid="{D56B75CE-365D-4830-8DE4-13DB07FE500C}"/>
    <hyperlink ref="C8" r:id="rId10" xr:uid="{7D3BD571-9C5F-48C0-AF7D-2B1FDBF97605}"/>
    <hyperlink ref="C13" r:id="rId11" xr:uid="{1788A570-CCDD-4388-A268-98E26BB3F5F3}"/>
    <hyperlink ref="C14" r:id="rId12" xr:uid="{C491221A-10A9-44FC-9AE4-F50A15B65ADE}"/>
    <hyperlink ref="C3" r:id="rId13" xr:uid="{ACF81FB8-A756-4EC8-A0D3-30EDF1462BCF}"/>
  </hyperlinks>
  <pageMargins left="0.7" right="0.7" top="0.75" bottom="0.75" header="0.3" footer="0.3"/>
  <pageSetup paperSize="9" orientation="landscape" r:id="rId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2026-08-12T09:30:38Z</dcterms:modified>
</cp:coreProperties>
</file>