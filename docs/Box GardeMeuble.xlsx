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acboi\Documents\Projets\vente-meubles\docs\"/>
    </mc:Choice>
  </mc:AlternateContent>
  <xr:revisionPtr revIDLastSave="0" documentId="13_ncr:1_{22F15A99-4222-4FE4-806E-466C5114043E}" xr6:coauthVersionLast="47" xr6:coauthVersionMax="47" xr10:uidLastSave="{00000000-0000-0000-0000-000000000000}"/>
  <bookViews>
    <workbookView xWindow="-98" yWindow="-98" windowWidth="21795" windowHeight="12975" xr2:uid="{FD343005-4382-4935-A274-266D1E9B84BE}"/>
  </bookViews>
  <sheets>
    <sheet name="Meubles"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7" i="1" l="1"/>
  <c r="L1" i="1"/>
  <c r="L3" i="1" s="1"/>
  <c r="K3" i="1" s="1"/>
  <c r="J19" i="1"/>
  <c r="J20" i="1"/>
  <c r="J21" i="1"/>
  <c r="J22" i="1"/>
  <c r="J23" i="1"/>
  <c r="J24" i="1"/>
  <c r="J25" i="1"/>
  <c r="J26" i="1"/>
  <c r="J27" i="1"/>
  <c r="J28" i="1"/>
  <c r="J29" i="1"/>
  <c r="J30" i="1"/>
  <c r="J31" i="1"/>
  <c r="J32" i="1"/>
  <c r="J33" i="1"/>
  <c r="J34" i="1"/>
  <c r="J35" i="1"/>
  <c r="J18" i="1"/>
  <c r="O15" i="1"/>
  <c r="O14" i="1"/>
  <c r="O13" i="1"/>
  <c r="O12" i="1"/>
  <c r="O11" i="1"/>
  <c r="O10" i="1"/>
  <c r="O9" i="1"/>
  <c r="O8" i="1"/>
  <c r="O7" i="1"/>
  <c r="O6" i="1"/>
  <c r="O5" i="1"/>
  <c r="O4" i="1"/>
  <c r="O3" i="1"/>
  <c r="O2" i="1"/>
  <c r="N15" i="1"/>
  <c r="N14" i="1"/>
  <c r="N13" i="1"/>
  <c r="N12" i="1"/>
  <c r="N11" i="1"/>
  <c r="N10" i="1"/>
  <c r="N9" i="1"/>
  <c r="N8" i="1"/>
  <c r="N7" i="1"/>
  <c r="N6" i="1"/>
  <c r="N5" i="1"/>
  <c r="N4" i="1"/>
  <c r="N3" i="1"/>
  <c r="N2" i="1"/>
  <c r="M3" i="1"/>
  <c r="M4" i="1"/>
  <c r="M5" i="1"/>
  <c r="M6" i="1"/>
  <c r="M7" i="1"/>
  <c r="M8" i="1"/>
  <c r="M9" i="1"/>
  <c r="M10" i="1"/>
  <c r="M11" i="1"/>
  <c r="M12" i="1"/>
  <c r="M13" i="1"/>
  <c r="M14" i="1"/>
  <c r="M15" i="1"/>
  <c r="M2" i="1"/>
  <c r="G10" i="1"/>
  <c r="J16" i="1"/>
  <c r="G9" i="1"/>
  <c r="G6" i="1"/>
  <c r="G12" i="1"/>
  <c r="G5" i="1"/>
  <c r="G7" i="1"/>
  <c r="G8" i="1"/>
  <c r="G11" i="1"/>
  <c r="G13" i="1"/>
  <c r="G14" i="1"/>
  <c r="G2" i="1"/>
  <c r="G3" i="1"/>
  <c r="G4" i="1"/>
  <c r="L10" i="1" l="1"/>
  <c r="K10" i="1" s="1"/>
  <c r="L11" i="1"/>
  <c r="K11" i="1" s="1"/>
  <c r="L12" i="1"/>
  <c r="K12" i="1" s="1"/>
  <c r="L13" i="1"/>
  <c r="K13" i="1" s="1"/>
  <c r="L14" i="1"/>
  <c r="K14" i="1" s="1"/>
  <c r="L15" i="1"/>
  <c r="K15" i="1" s="1"/>
  <c r="L8" i="1"/>
  <c r="K8" i="1" s="1"/>
  <c r="L4" i="1"/>
  <c r="K4" i="1" s="1"/>
  <c r="L5" i="1"/>
  <c r="K5" i="1" s="1"/>
  <c r="L6" i="1"/>
  <c r="K6" i="1" s="1"/>
  <c r="L7" i="1"/>
  <c r="K7" i="1" s="1"/>
  <c r="L9" i="1"/>
  <c r="K9" i="1" s="1"/>
  <c r="M16" i="1"/>
  <c r="M22" i="1" s="1"/>
  <c r="L2" i="1"/>
  <c r="K2" i="1" s="1"/>
  <c r="O16" i="1"/>
  <c r="O24" i="1" s="1"/>
  <c r="G16" i="1"/>
  <c r="N16" i="1"/>
  <c r="N24" i="1" s="1"/>
  <c r="O26" i="1" l="1"/>
  <c r="M19" i="1"/>
  <c r="L16" i="1"/>
  <c r="L21" i="1" s="1"/>
  <c r="K21" i="1" s="1"/>
  <c r="O23" i="1"/>
  <c r="O19" i="1"/>
  <c r="M30" i="1"/>
  <c r="M24" i="1"/>
  <c r="M35" i="1"/>
  <c r="M33" i="1"/>
  <c r="M28" i="1"/>
  <c r="M27" i="1"/>
  <c r="M31" i="1"/>
  <c r="M18" i="1"/>
  <c r="M29" i="1"/>
  <c r="L25" i="1"/>
  <c r="K25" i="1" s="1"/>
  <c r="L26" i="1"/>
  <c r="K26" i="1" s="1"/>
  <c r="L28" i="1"/>
  <c r="K28" i="1" s="1"/>
  <c r="L27" i="1"/>
  <c r="K27" i="1" s="1"/>
  <c r="L35" i="1"/>
  <c r="K35" i="1" s="1"/>
  <c r="M21" i="1"/>
  <c r="L31" i="1"/>
  <c r="K31" i="1" s="1"/>
  <c r="M25" i="1"/>
  <c r="M23" i="1"/>
  <c r="M26" i="1"/>
  <c r="M20" i="1"/>
  <c r="L22" i="1"/>
  <c r="K22" i="1" s="1"/>
  <c r="M32" i="1"/>
  <c r="M34" i="1"/>
  <c r="O29" i="1"/>
  <c r="O25" i="1"/>
  <c r="O28" i="1"/>
  <c r="O20" i="1"/>
  <c r="O27" i="1"/>
  <c r="O22" i="1"/>
  <c r="O21" i="1"/>
  <c r="O18" i="1"/>
  <c r="N27" i="1"/>
  <c r="N28" i="1"/>
  <c r="N25" i="1"/>
  <c r="N21" i="1"/>
  <c r="N19" i="1"/>
  <c r="N29" i="1"/>
  <c r="N23" i="1"/>
  <c r="N26" i="1"/>
  <c r="N31" i="1"/>
  <c r="N30" i="1"/>
  <c r="N18" i="1"/>
  <c r="N20" i="1"/>
  <c r="N22" i="1"/>
  <c r="N32" i="1"/>
  <c r="L24" i="1" l="1"/>
  <c r="K24" i="1" s="1"/>
  <c r="L23" i="1"/>
  <c r="K23" i="1" s="1"/>
  <c r="K16" i="1"/>
  <c r="L33" i="1"/>
  <c r="K33" i="1" s="1"/>
  <c r="L29" i="1"/>
  <c r="K29" i="1" s="1"/>
  <c r="L18" i="1"/>
  <c r="K18" i="1" s="1"/>
  <c r="L34" i="1"/>
  <c r="K34" i="1" s="1"/>
  <c r="L30" i="1"/>
  <c r="K30" i="1" s="1"/>
  <c r="L32" i="1"/>
  <c r="K32" i="1" s="1"/>
  <c r="L19" i="1"/>
  <c r="K19" i="1" s="1"/>
  <c r="L20" i="1"/>
  <c r="K20" i="1" s="1"/>
</calcChain>
</file>

<file path=xl/sharedStrings.xml><?xml version="1.0" encoding="utf-8"?>
<sst xmlns="http://schemas.openxmlformats.org/spreadsheetml/2006/main" count="129" uniqueCount="89">
  <si>
    <t>Table salon</t>
  </si>
  <si>
    <t>Meuble TV</t>
  </si>
  <si>
    <t>Bureau</t>
  </si>
  <si>
    <t>Lit</t>
  </si>
  <si>
    <t>Meuble Entrée</t>
  </si>
  <si>
    <t>Matelas</t>
  </si>
  <si>
    <t>Haut</t>
  </si>
  <si>
    <t>Larg</t>
  </si>
  <si>
    <t>Long</t>
  </si>
  <si>
    <r>
      <t>en m</t>
    </r>
    <r>
      <rPr>
        <vertAlign val="superscript"/>
        <sz val="11"/>
        <color theme="1"/>
        <rFont val="Aptos Narrow"/>
        <family val="2"/>
        <scheme val="minor"/>
      </rPr>
      <t>3</t>
    </r>
  </si>
  <si>
    <t>Fauteuil bureau</t>
  </si>
  <si>
    <t>Sommier</t>
  </si>
  <si>
    <t>Desserte cuisine</t>
  </si>
  <si>
    <t>Prix neuf</t>
  </si>
  <si>
    <t>BOX (par mois)</t>
  </si>
  <si>
    <t>Ref</t>
  </si>
  <si>
    <t>001</t>
  </si>
  <si>
    <t>002</t>
  </si>
  <si>
    <t>003</t>
  </si>
  <si>
    <t>004</t>
  </si>
  <si>
    <t>005</t>
  </si>
  <si>
    <t>006</t>
  </si>
  <si>
    <t>007</t>
  </si>
  <si>
    <t>008</t>
  </si>
  <si>
    <t>009</t>
  </si>
  <si>
    <t>010</t>
  </si>
  <si>
    <t>011</t>
  </si>
  <si>
    <t>012</t>
  </si>
  <si>
    <t>013</t>
  </si>
  <si>
    <t>014</t>
  </si>
  <si>
    <t>Categorie</t>
  </si>
  <si>
    <t>Salon</t>
  </si>
  <si>
    <t>Séjour</t>
  </si>
  <si>
    <t>Chambre</t>
  </si>
  <si>
    <t>Entrée</t>
  </si>
  <si>
    <t>WC</t>
  </si>
  <si>
    <t>Etat</t>
  </si>
  <si>
    <t>Comme neuf</t>
  </si>
  <si>
    <t>Bon etat</t>
  </si>
  <si>
    <t>Très bon état</t>
  </si>
  <si>
    <t>Prix de vente</t>
  </si>
  <si>
    <t>Statut</t>
  </si>
  <si>
    <t>Nb Photos</t>
  </si>
  <si>
    <t>Disponible</t>
  </si>
  <si>
    <t>Date d'achat</t>
  </si>
  <si>
    <t>Description</t>
  </si>
  <si>
    <t>Nom</t>
  </si>
  <si>
    <t>Couleur</t>
  </si>
  <si>
    <t>Matière</t>
  </si>
  <si>
    <t>Gris</t>
  </si>
  <si>
    <t>Imitation chêne</t>
  </si>
  <si>
    <t>panneaux de particules mélaminés</t>
  </si>
  <si>
    <t xml:space="preserve"> chêne et noir </t>
  </si>
  <si>
    <t>panneaux de particules</t>
  </si>
  <si>
    <t>bicolore,  noir et blanc pour la table et gris foncé pour les chaises</t>
  </si>
  <si>
    <t xml:space="preserve"> tissu velours côtelé</t>
  </si>
  <si>
    <t>teinte noire élégante avec un revêtement effet bois clair</t>
  </si>
  <si>
    <t>panneau de particules</t>
  </si>
  <si>
    <t>coloris Chêne artisan</t>
  </si>
  <si>
    <t>noir d'encre</t>
  </si>
  <si>
    <t xml:space="preserve">surface PU résistante à l'usure </t>
  </si>
  <si>
    <t>teintes chêne kronberg et waterford</t>
  </si>
  <si>
    <t xml:space="preserve"> tissu stretch 100 % polyester</t>
  </si>
  <si>
    <t>Blanc</t>
  </si>
  <si>
    <t>métal</t>
  </si>
  <si>
    <t>noir avec un plateau et des crochets en bois</t>
  </si>
  <si>
    <t>coloris naturel et noir</t>
  </si>
  <si>
    <t>Bois et Métal</t>
  </si>
  <si>
    <t>Table séjour +4 chaises</t>
  </si>
  <si>
    <t>Lot de 2 Chevets</t>
  </si>
  <si>
    <t>Armoire 3 portes battante</t>
  </si>
  <si>
    <t>Lot de 2 meubles WC</t>
  </si>
  <si>
    <t>Canapé 3 places convertible 2 couchages</t>
  </si>
  <si>
    <t>Réservé</t>
  </si>
  <si>
    <r>
      <rPr>
        <b/>
        <sz val="8"/>
        <color rgb="FF0070C0"/>
        <rFont val="Aptos Narrow"/>
        <family val="2"/>
        <scheme val="minor"/>
      </rPr>
      <t>Un pratique vestiaire multi-usages</t>
    </r>
    <r>
      <rPr>
        <sz val="8"/>
        <color theme="1"/>
        <rFont val="Aptos Narrow"/>
        <family val="2"/>
        <scheme val="minor"/>
      </rPr>
      <t xml:space="preserve">
Idéal dans l'entrée pour suspendre les vestes et les manteaux ou déposer les sacs et les chapeaux, le vestiaire d'entrée se montre ultra-fonctionnel et se prête également au rangement des chaussures. Contemporain et design, il est muni d'une étagère haute, d'un système de patère avec 4 crochets en bois, d'un plateau en panneaux de particules enduit et de 2 étagères inférieures. 
Ce vestiaire d'entrée de dimensions L. 76 x H. 178 x l. 35 cm s'avère peu encombrant grâce à sa faible profondeur. 
Simple d'entretien, il se nettoie à l'aide d'un chiffon en microfibres.
</t>
    </r>
  </si>
  <si>
    <r>
      <rPr>
        <b/>
        <sz val="8"/>
        <color rgb="FF0070C0"/>
        <rFont val="Aptos Narrow"/>
        <family val="2"/>
        <scheme val="minor"/>
      </rPr>
      <t>Lot de 2 meubles WC 2 portes avec étagères design industriel</t>
    </r>
    <r>
      <rPr>
        <sz val="8"/>
        <color theme="1"/>
        <rFont val="Aptos Narrow"/>
        <family val="2"/>
        <scheme val="minor"/>
      </rPr>
      <t xml:space="preserve">
Son style moderne et ses lignes sobres créeront une ambiance chaleureuse et un esprit "factory" très tendance !
Le mélange entre le coloris naturel du bois et le noir de sa structure en métal apportera une touche industrielle pour un esprit loft à votre intérieur.
Ses 3 étagères (composées de 2 tablettes) et ses 2 placards confèrent à ce meuble au design urbain plein d'atouts de rangement ! 
Dans les 2 placards, vous pourrez ranger en toute discrétion vos produits les moins esthétiques comme les rouleaux de papier toilette, les produits d'entretien...
Dimensions du meuble WC 2 portes avec étagères 
Dimensions globales : Longueur 18 cm x largeur 30 cm x Hauteur 119 cm
Placard du haut : L. 12,5 x l. 29 x H. 19 cm
Placard du bas : L. 12,5 x l. 29 x H.36,5 cm
</t>
    </r>
  </si>
  <si>
    <r>
      <rPr>
        <b/>
        <sz val="8"/>
        <color rgb="FF0070C0"/>
        <rFont val="Aptos Narrow"/>
        <family val="2"/>
        <scheme val="minor"/>
      </rPr>
      <t xml:space="preserve">Bureau Enfant  110 cm coloris Chêne artisan
</t>
    </r>
    <r>
      <rPr>
        <sz val="8"/>
        <color theme="1"/>
        <rFont val="Aptos Narrow"/>
        <family val="2"/>
        <scheme val="minor"/>
      </rPr>
      <t xml:space="preserve">
Avec son style naturel et son coloris chêne artisan, ce bureau s'intègre parfaitement dans un environnement chaleureux et moderne.
Le bois foncé apporte une touche d'élégance qui se marie facilement avec divers styles de décoration intérieure. 
Que ce soit pour les devoirs, les activités créatives ou le temps passé sur une tablette, ce bureau offre un cadre propice à la concentration et à la créativité.
Conçu avec un panneau de particules recouvert de papier décor, il allie robustesse et esthétique.
Ce bureau est équipé d'une porte et d'une niche, offrant des solutions de rangement pratiques pour les fournitures scolaires et les petits objets personnels. 
La finition en papier décor assure une surface lisse et facile à entretenir, idéale pour un usage quotidien. 
Grâce à sa conception soignée, ce bureau s'adapte aux besoins des enfants tout en apportant une touche de sophistication à leur espace personnel.
Avec ses dimensions compactes, le Bureau Enfant  mesure 110 cm de longueur, 77 cm de hauteur et 55,5 cm de profondeur, ce qui en fait un choix parfait pour les chambres d'enfants où l'espace est précieux. Son poids total de 39 kg assure une stabilité optimale, garantissant ainsi une utilisation sécurisée. 
</t>
    </r>
  </si>
  <si>
    <r>
      <rPr>
        <b/>
        <sz val="8"/>
        <color rgb="FF0070C0"/>
        <rFont val="Aptos Narrow"/>
        <family val="2"/>
        <scheme val="minor"/>
      </rPr>
      <t xml:space="preserve">Fauteuil de bureau, chaise gaming, réglable, repose-pieds télescopique, mécanisme à bascule, appui-tête, support lombaire, charge 150 kg, noir d'encre
</t>
    </r>
    <r>
      <rPr>
        <sz val="8"/>
        <color theme="1"/>
        <rFont val="Aptos Narrow"/>
        <family val="2"/>
        <scheme val="minor"/>
      </rPr>
      <t xml:space="preserve">
Avec une hauteur réglable de 47 à 57 cm et un dossier incunable entre 90° et 135°, ce fauteuil de bureau vous permet de trouver la position pour travailler plus efficacement
Cette chaise ergonomique dispose d'un soutien lombaire, d'un repose-pieds, d'un appui-tête et de roulettes silencieuses en nylon, permettant à votre corps de se reposer pour que vous puissiez vous concentrer sur votre travail
Le siège, le dossier et le support lombaire sont rembourrés en mousse de haute densité qui ne se déforme pas facilement. Que ce soit pour le travail ou du divertissement, ce dossier ergonomique imite les courbes de votre corps pour vous offrir un meilleur soutien
La chaise gaming supporte jusqu'à 150 kg. Une chaise de bureau ergonomique avec une surface PU résistante à l'usure et facile à nettoyer qui s'adapte à votre maison ou votre bureau. Avec elle, gardez votre corps et votre esprit détendus !
Roulettes durables : Les roulettes ont réussi le test de 100 000 cycles du fournisseur de pièces (testé par le fournisseur).
Piètement étoile robuste : La base en forme d'étoile a résisté à un test de pression statique de la base de la chaise pendant une minute, supportant une charge de 1 136 kg sans se briser (testé par le fournisseur).
Caractéristiques :
- Couleurs : Noir d'encre
- Matériaux : Mousse de haute densité, nylon, acier, PU
- Dimensions du fauteuil : 67 x 66 x (116-126) cm (L x l x H)
- Hauteur assise/sol : 47-57 cm
- Dimensions de l’assise : 50 x 52 cm (L x l)
- Hauteur du dossier : 71 cm
- Diamètre d’une roulette : 50 mm
- Poids : 20,6 kg
- Capacité de charge statique max. : 150 kg
</t>
    </r>
  </si>
  <si>
    <t xml:space="preserve">Lit adulte 140x190
Le lit adulte s'illustre par son style industriel, idéal pour ceux qui souhaitent insuffler une ambiance moderne et épurée à leur chambre. 
Avec sa finition en papier décor et ses teintes chêne kronberg et waterford, ce lit apporte une légère touche industrielle, tout en restant chaleureux. 
Sa tête de lit se distingue par un travail sur les contrastes, offrant ainsi un design unique qui s'intègre parfaitement dans un intérieur contemporain.
Sa structure est conçue en panneau de particules de 15 et 18 mm, assurant robustesse et durabilité. 
Bien que vendu sans sommier ni matelas, ce lit offre une base solide pour accueillir le couchage de votre choix. 
Dimensions de couchage de 140x190 cm. 
Avec une longueur de 194,7 cm, une largeur de 148,3 cm et une hauteur de 71,7 cm, il s'intègre facilement dans la plupart des espaces. </t>
  </si>
  <si>
    <r>
      <rPr>
        <b/>
        <sz val="8"/>
        <color rgb="FF0070C0"/>
        <rFont val="Aptos Narrow"/>
        <family val="2"/>
        <scheme val="minor"/>
      </rPr>
      <t xml:space="preserve">Lot de 2 Chevets 
</t>
    </r>
    <r>
      <rPr>
        <sz val="8"/>
        <color theme="1"/>
        <rFont val="Aptos Narrow"/>
        <family val="2"/>
        <scheme val="minor"/>
      </rPr>
      <t xml:space="preserve">
Chevet 1 tiroir, idéal pour créer une ambiance moderne et urbaine dans votre chambre. 
Avec ses teintes de chêne krongberg et waterford, ce meuble apporte une touche de chaleur et d'authenticité à votre espace. 
Ses dimensions compactes, avec une largeur de 39,5 cm, une hauteur de 32,1 cm et une profondeur de 34,7 cm, en font un choix parfait pour les petites chambres ou les espaces restreints.
Ce chevet est conçu pour s'intégrer harmonieusement dans tout type de décoration, tout en offrant une solution de rangement pratique et esthétique.
Son tiroir unique permet de ranger facilement vos livres, lunettes ou autres objets personnels, tout en gardant votre espace de nuit organisé. 
Ce meuble est idéal pour ceux qui souhaitent optimiser leur espace sans compromettre le style. 
En plus de son utilisation fonctionnelle, le chevet peut être agrémenté d'éléments décoratifs comme une lampe ou un vase, pour personnaliser davantage votre espace. </t>
    </r>
  </si>
  <si>
    <r>
      <rPr>
        <b/>
        <sz val="8"/>
        <color rgb="FF0070C0"/>
        <rFont val="Aptos Narrow"/>
        <family val="2"/>
        <scheme val="minor"/>
      </rPr>
      <t xml:space="preserve">Matelas 140x190 cm 8 HEURES FUTE : Confort et soutien optimal fabriqué en France
</t>
    </r>
    <r>
      <rPr>
        <sz val="8"/>
        <color theme="1"/>
        <rFont val="Aptos Narrow"/>
        <family val="2"/>
        <scheme val="minor"/>
      </rPr>
      <t xml:space="preserve">
Le matelas 140x190 cm 8 HEURES FUTE est un choix idéal pour ceux qui recherchent un confort équilibré et un soutien medium. 
Grâce à sa technologie de ressorts ensachés, ce matelas offre une indépendance de couchage remarquable, permettant de ne pas ressentir les mouvements de son partenaire.
Fabriqué en France, il répond aux besoins des couples ou des personnes seules souhaitant un matelas deux places qui s'adapte parfaitement à leur morphologie. 
Son accueil ferme et son épaisseur de 21 cm garantissent un sommeil réparateur, quelle que soit la saison.
Ce matelas 8 HEURES FUTE se distingue par sa suspension de 480 ressorts ensachés, qui assure une excellente circulation de l'air et un soutien durable. 
Le tissu stretch 100 % polyester optimise la ventilation, évacuant l'humidité pour un confort optimal. 
Avec ses deux faces de couchage, il s'adapte aux variations saisonnières, offrant une face été avec un garnissage fin et respirant, et une face hiver plus enveloppante.
Avec un poids de 32 kg, il est à la fois robuste et facile à manipuler. 
</t>
    </r>
  </si>
  <si>
    <r>
      <rPr>
        <b/>
        <sz val="8"/>
        <color rgb="FF0070C0"/>
        <rFont val="Aptos Narrow"/>
        <family val="2"/>
        <scheme val="minor"/>
      </rPr>
      <t xml:space="preserve">Cadre à lattes fixe 140x190 cm 
</t>
    </r>
    <r>
      <rPr>
        <sz val="8"/>
        <color theme="1"/>
        <rFont val="Aptos Narrow"/>
        <family val="2"/>
        <scheme val="minor"/>
      </rPr>
      <t xml:space="preserve">
Conçu pour offrir un soutien optimal, ce sommier est doté de 20 lattes souples en multiplis, garantissant une excellente répartition du poids et un maintien adapté à chaque morphologie. 
Sa structure en métal assure une solidité à toute épreuve, tandis que ses trois zones de soutien, dont une zone lombaire renforcée, favorisent un alignement parfait de la colonne vertébrale. 
Ce cadre est idéal pour ceux qui souhaitent améliorer la qualité de leur sommeil tout en préservant leur dos.
Fabriqué en France, ce sommier tapissier se distingue par ses caractéristiques techniques avancées. 
Avec une longueur de 190 cm, une largeur de 140 cm et une épaisseur de 5 cm, il s'intègre parfaitement dans les chambres de taille moyenne. 
Le choix de matériaux de qualité comme le métal pour la structure et les lattes multiplis pour la suspension assure une durabilité exceptionnelle.
 De plus, son coloris gris s'harmonise facilement avec tout type de décor.
Avec un poids total de 16 kg, il est facile à manipuler lors de l'installation. 
</t>
    </r>
  </si>
  <si>
    <t xml:space="preserve">Armoire 3 portes battantes
Elle se distingue par son design moderne et épuré, alliant le coloris Chêne Kronberg et Waterford. 
Ce meuble au style naturel s'intègre parfaitement dans tout type d'intérieur, qu'il soit contemporain ou plus classique. 
Grâce à son miroir intégré, elle agrandit visuellement l'espace et apporte une luminosité supplémentaire à votre pièce. 
Fabriquée en France, cette armoire allie esthétisme et qualité, répondant ainsi aux attentes des consommateurs soucieux de l'origine de fabrication de leurs meubles.
Dotée de 3 portes battantes, l'armoire offre un aménagement intérieur astucieux avec deux tiers dédiés à la penderie et un tiers en lingère. 
Les étagères modulables permettent de ranger efficacement vos vêtements pliés.
 La structure en panneau de particules assure une robustesse et une durabilité optimales.
Avec une largeur de 133,5 cm, une hauteur de 191,5 cm et une profondeur de 51,4 cm, cette armoire est conçue pour optimiser l'espace de rangement tout en s'adaptant à des pièces de tailles variées. </t>
  </si>
  <si>
    <r>
      <rPr>
        <b/>
        <sz val="8"/>
        <color rgb="FF0070C0"/>
        <rFont val="Aptos Narrow"/>
        <family val="2"/>
        <scheme val="minor"/>
      </rPr>
      <t xml:space="preserve">Table basse de salon, multifonctionnelle
</t>
    </r>
    <r>
      <rPr>
        <sz val="8"/>
        <color theme="1"/>
        <rFont val="Aptos Narrow"/>
        <family val="2"/>
        <scheme val="minor"/>
      </rPr>
      <t xml:space="preserve">
Pour improviser un repas devant un bon film, cette table basse noire et imitation chêne sonoma est le meuble idéal. 
Utile pour délimiter l'espace dans un salon, ce meuble se distingue par ses capacités de rangement et ses tablettes amovibles. 
De forme rectangulaire, cette table basse de L. 100 x H. 60 x P. 45,58 cm se démarque par une structure en panneaux de particules mélaminés, un mécanisme laptop en acier et un piètement en acier recouvert d'époxy. Peu encombrante et de faible profondeur, cette table basse est facile à entretenir avec un chiffon en microfibres.
</t>
    </r>
  </si>
  <si>
    <r>
      <rPr>
        <b/>
        <sz val="8"/>
        <color rgb="FF0070C0"/>
        <rFont val="Aptos Narrow"/>
        <family val="2"/>
        <scheme val="minor"/>
      </rPr>
      <t xml:space="preserve">Ensemble table rectangulaire 4 chaises 
</t>
    </r>
    <r>
      <rPr>
        <sz val="8"/>
        <color theme="1"/>
        <rFont val="Aptos Narrow"/>
        <family val="2"/>
        <scheme val="minor"/>
      </rPr>
      <t xml:space="preserve">
Avec sa table de séjour de forme rectangulaire, cet ensemble offre une solution pratique pour accueillir jusqu'à quatre personnes. 
Le design bicolore, associant le noir et le blanc pour la table et le gris foncé pour les chaises, confère une touche moderne et élégante à votre intérieur. 
La table, d'une longueur de 120 cm, est idéale pour les espaces restreints tout en permettant de partager des moments conviviaux en famille ou entre amis.
Le plateau de la table est en panneau de particules avec une finition mélaminée, offrant une surface résistante et facile à entretenir. 
Les chaises, quant à elles, sont dotées d'une assise et d'un dossier en tissu, procurant un confort optimal. 
Les dimensions ergonomiques des chaises, avec une hauteur d'assise de 46 cm et une profondeur de 54 cm, assurent un confort d'assise appréciable. 
Avec une hauteur de table de 75 cm et une épaisseur de plateau de 18 mm, cet ensemble allie solidité et élégance pour sublimer votre espace de vie.
Destiné à un usage intérieur, l'ensemble table et chaises TONY s'adresse aux foyers souhaitant optimiser leur espace tout en bénéficiant d'un mobilier au design contemporain. 
</t>
    </r>
  </si>
  <si>
    <r>
      <rPr>
        <b/>
        <sz val="8"/>
        <color rgb="FF0070C0"/>
        <rFont val="Aptos Narrow"/>
        <family val="2"/>
        <scheme val="minor"/>
      </rPr>
      <t>Desserte cuisine au d</t>
    </r>
    <r>
      <rPr>
        <sz val="8"/>
        <color theme="1"/>
        <rFont val="Aptos Narrow"/>
        <family val="2"/>
        <scheme val="minor"/>
      </rPr>
      <t xml:space="preserve">esign moderne.
Elle combine une teinte noire élégante avec un revêtement effet bois clair, créant ainsi un contraste visuel attrayant. 
Les poignées en aluminium laqué noir ajoutent une touche de sophistication supplémentaire. 
Fabriquée en France, cette desserte témoigne d'un savoir-faire local et d'une attention particulière portée à la qualité des matériaux. 
Sa structure en panneau de particules et panneau de fibres de bois assure robustesse et durabilité, tandis que sa finition en papier décor lui confère un aspect soigné.
Rangements pratiques et mobilité facilitée
Avec ses deux portes qui s'ouvrent sur un vaste espace de stockage, elle permet d'organiser efficacement vos ustensiles et provisions. 
Un atout majeur de ce meuble est son range-bouteilles latéral. 
Dotée de roulettes multidirectionnelles, elle se déplace aisément, offrant une flexibilité d'utilisation au quotidien. 
Cette mobilité est idéale pour ajuster la desserte en fonction de vos besoins, que ce soit pour cuisiner ou pour servir vos invités.
Destinée à un usage intérieur. 
Dimensions compactes (largeur de 75 cm, hauteur de 80,7 cm, profondeur de 40 cm) et un poids total de 20,9 kg.
</t>
    </r>
  </si>
  <si>
    <r>
      <rPr>
        <b/>
        <sz val="8"/>
        <color rgb="FF0070C0"/>
        <rFont val="Aptos Narrow"/>
        <family val="2"/>
        <scheme val="minor"/>
      </rPr>
      <t xml:space="preserve">Meuble TV 155 cm 
</t>
    </r>
    <r>
      <rPr>
        <sz val="8"/>
        <color theme="1"/>
        <rFont val="Aptos Narrow"/>
        <family val="2"/>
        <scheme val="minor"/>
      </rPr>
      <t xml:space="preserve">
Coloris chêne et noir qui  s'intègre parfaitement dans un intérieur au style industriel. 
Son design bicolore, associant le chêne jackson et le noir, apporte une touche de modernité et de sophistication à votre salon. 
Conçu à partir de panneaux de particules, il offre une robustesse et une durabilité appréciables. 
Ce meuble est doté d'une porte coulissante, permettant un accès facile à vos appareils électroniques tout en les protégeant de la poussière. 
Une tablette de rangement supplémentaire est intégrée, idéale pour organiser vos accessoires multimédia. 
Le passe-câbles intégré assure une gestion discrète et ordonnée des fils, contribuant à un espace de vie harmonieux et bien rangé.
Avec une longueur de 155 cm, une largeur de 40 cm et une hauteur de 43 cm, le meuble TV offre un espace suffisant pour accueillir une grande télévision ainsi que d'autres équipements audiovisuels. Son poids total de 24 kg témoigne de sa solidité et de sa stabilité. </t>
    </r>
  </si>
  <si>
    <r>
      <rPr>
        <b/>
        <sz val="8"/>
        <color rgb="FF0070C0"/>
        <rFont val="Aptos Narrow"/>
        <family val="2"/>
        <scheme val="minor"/>
      </rPr>
      <t xml:space="preserve">Canapé droit convertible 3 places Tissu Gris
</t>
    </r>
    <r>
      <rPr>
        <sz val="8"/>
        <color theme="1"/>
        <rFont val="Aptos Narrow"/>
        <family val="2"/>
        <scheme val="minor"/>
      </rPr>
      <t xml:space="preserve">
Revêtement en tissu velours côtelé. Sa couleur grise neutre permet de l'associer facilement avec d'autres éléments de décoration, créant ainsi un espace de vie accueillant et chaleureux.
Ce canapé 3 places se distingue par sa fonctionnalité convertible, transformant votre salon en un espace de couchage confortable en un clin d'œil. Grâce à son matelas d'une épaisseur de 12 cm en mousse polyuréthane, il offre un couchage régulier de qualité, garantissant un sommeil réparateur. La structure en pin et contreplaqué assure une robustesse et une durabilité exceptionnelles, tandis que la suspension à ressorts zig-zag et sangle offre un soutien optimal. Le revêtement en 100% polyester est non seulement agréable au toucher, mais également facile à entretenir, assurant ainsi une longévité accrue.
Avec ses dimensions généreuses de largeur 198 cm, hauteur 89 cm et profondeur 99 cm, le canapé s'adapte parfaitement aux espaces de vie modernes. Son coloris gris, à la fois sobre et élégant, s'harmonise avec une multitude de styles de décoration. </t>
    </r>
  </si>
  <si>
    <t>Vendu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</si>
</sst>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quot;€&quot;"/>
    <numFmt numFmtId="165" formatCode="yyyy\-mm\-dd"/>
  </numFmts>
  <fonts count="6" x14ac:knownFonts="1">
    <font>
      <sz val="11"/>
      <color theme="1"/>
      <name val="Aptos Narrow"/>
      <family val="2"/>
      <scheme val="minor"/>
    </font>
    <font>
      <vertAlign val="superscript"/>
      <sz val="11"/>
      <color theme="1"/>
      <name val="Aptos Narrow"/>
      <family val="2"/>
      <scheme val="minor"/>
    </font>
    <font>
      <u/>
      <sz val="11"/>
      <color theme="10"/>
      <name val="Aptos Narrow"/>
      <family val="2"/>
      <scheme val="minor"/>
    </font>
    <font>
      <sz val="8"/>
      <name val="Aptos Narrow"/>
      <family val="2"/>
      <scheme val="minor"/>
    </font>
    <font>
      <sz val="8"/>
      <color theme="1"/>
      <name val="Aptos Narrow"/>
      <family val="2"/>
      <scheme val="minor"/>
    </font>
    <font>
      <b/>
      <sz val="8"/>
      <color rgb="FF0070C0"/>
      <name val="Aptos Narrow"/>
      <family val="2"/>
      <scheme val="minor"/>
    </font>
  </fonts>
  <fills count="3">
    <fill>
      <patternFill patternType="none"/>
    </fill>
    <fill>
      <patternFill patternType="gray125"/>
    </fill>
    <fill>
      <patternFill patternType="solid">
        <fgColor theme="0" tint="-0.14999847407452621"/>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2" fillId="0" borderId="0" applyNumberFormat="0" applyFill="0" applyBorder="0" applyAlignment="0" applyProtection="0"/>
  </cellStyleXfs>
  <cellXfs count="28">
    <xf numFmtId="0" fontId="0" fillId="0" borderId="0" xfId="0"/>
    <xf numFmtId="0" fontId="0" fillId="2" borderId="0" xfId="0" applyFill="1" applyAlignment="1">
      <alignment vertical="top"/>
    </xf>
    <xf numFmtId="0" fontId="0" fillId="2" borderId="7" xfId="0" applyFill="1" applyBorder="1" applyAlignment="1">
      <alignment vertical="top"/>
    </xf>
    <xf numFmtId="0" fontId="0" fillId="2" borderId="0" xfId="0" applyFill="1" applyAlignment="1">
      <alignment horizontal="center" vertical="top"/>
    </xf>
    <xf numFmtId="164" fontId="0" fillId="0" borderId="2" xfId="0" applyNumberFormat="1" applyBorder="1" applyAlignment="1">
      <alignment vertical="top"/>
    </xf>
    <xf numFmtId="9" fontId="0" fillId="0" borderId="6" xfId="0" quotePrefix="1" applyNumberFormat="1" applyBorder="1" applyAlignment="1">
      <alignment vertical="top"/>
    </xf>
    <xf numFmtId="0" fontId="4" fillId="2" borderId="0" xfId="0" applyFont="1" applyFill="1" applyAlignment="1">
      <alignment vertical="top"/>
    </xf>
    <xf numFmtId="49" fontId="0" fillId="0" borderId="0" xfId="0" quotePrefix="1" applyNumberFormat="1" applyAlignment="1">
      <alignment vertical="top"/>
    </xf>
    <xf numFmtId="0" fontId="2" fillId="0" borderId="7" xfId="1" applyBorder="1" applyAlignment="1">
      <alignment vertical="top"/>
    </xf>
    <xf numFmtId="0" fontId="0" fillId="0" borderId="0" xfId="0" applyAlignment="1">
      <alignment horizontal="center" vertical="top"/>
    </xf>
    <xf numFmtId="2" fontId="0" fillId="0" borderId="0" xfId="0" applyNumberFormat="1" applyAlignment="1">
      <alignment horizontal="center" vertical="top"/>
    </xf>
    <xf numFmtId="164" fontId="0" fillId="0" borderId="3" xfId="0" applyNumberFormat="1" applyBorder="1" applyAlignment="1">
      <alignment vertical="top"/>
    </xf>
    <xf numFmtId="164" fontId="0" fillId="0" borderId="7" xfId="0" applyNumberFormat="1" applyBorder="1" applyAlignment="1">
      <alignment vertical="top"/>
    </xf>
    <xf numFmtId="164" fontId="0" fillId="0" borderId="0" xfId="0" applyNumberFormat="1" applyAlignment="1">
      <alignment vertical="top"/>
    </xf>
    <xf numFmtId="0" fontId="0" fillId="0" borderId="0" xfId="0" applyAlignment="1">
      <alignment vertical="top"/>
    </xf>
    <xf numFmtId="0" fontId="4" fillId="0" borderId="0" xfId="0" applyFont="1" applyAlignment="1">
      <alignment vertical="top" wrapText="1"/>
    </xf>
    <xf numFmtId="0" fontId="4" fillId="0" borderId="0" xfId="0" applyFont="1" applyAlignment="1">
      <alignment vertical="top"/>
    </xf>
    <xf numFmtId="0" fontId="0" fillId="0" borderId="1" xfId="0" applyBorder="1" applyAlignment="1">
      <alignment vertical="top"/>
    </xf>
    <xf numFmtId="0" fontId="0" fillId="0" borderId="5" xfId="0" applyBorder="1" applyAlignment="1">
      <alignment horizontal="center" vertical="top"/>
    </xf>
    <xf numFmtId="2" fontId="0" fillId="0" borderId="5" xfId="0" applyNumberFormat="1" applyBorder="1" applyAlignment="1">
      <alignment horizontal="center" vertical="top"/>
    </xf>
    <xf numFmtId="164" fontId="0" fillId="0" borderId="4" xfId="0" applyNumberFormat="1" applyBorder="1" applyAlignment="1">
      <alignment vertical="top"/>
    </xf>
    <xf numFmtId="164" fontId="0" fillId="0" borderId="1" xfId="0" applyNumberFormat="1" applyBorder="1" applyAlignment="1">
      <alignment vertical="top"/>
    </xf>
    <xf numFmtId="9" fontId="0" fillId="0" borderId="0" xfId="0" quotePrefix="1" applyNumberFormat="1" applyAlignment="1">
      <alignment vertical="top"/>
    </xf>
    <xf numFmtId="165" fontId="0" fillId="2" borderId="0" xfId="0" applyNumberFormat="1" applyFill="1" applyAlignment="1">
      <alignment horizontal="center" vertical="top"/>
    </xf>
    <xf numFmtId="165" fontId="0" fillId="0" borderId="0" xfId="0" applyNumberFormat="1" applyAlignment="1">
      <alignment horizontal="center" vertical="top"/>
    </xf>
    <xf numFmtId="165" fontId="0" fillId="0" borderId="5" xfId="0" applyNumberFormat="1" applyBorder="1" applyAlignment="1">
      <alignment horizontal="center" vertical="top"/>
    </xf>
    <xf numFmtId="0" fontId="0" fillId="2" borderId="0" xfId="0" applyFill="1" applyAlignment="1">
      <alignment vertical="top" wrapText="1"/>
    </xf>
    <xf numFmtId="0" fontId="0" fillId="0" borderId="0" xfId="0" applyAlignment="1">
      <alignment vertical="top" wrapText="1"/>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conforama.fr/chambre-literie/chambre-adulte/chevet/chevet-watson/p/763895" TargetMode="External"/><Relationship Id="rId13" Type="http://schemas.openxmlformats.org/officeDocument/2006/relationships/hyperlink" Target="https://www.amazon.fr/IDMarket-Meuble-DETROIT-%C3%A9tag%C3%A8res-industriel/dp/B09PLPZVPC/ref=sr_1_4?__mk_fr_FR=%C3%85M%C3%85%C5%BD%C3%95%C3%91&amp;crid=1Q5CA8U8TIZW7&amp;dib=eyJ2IjoiMSJ9.v41c9szLY5zLnASECwHgOtNn2Xa_EqHhd-No3lhs9lFAagPzYbokLfoJchi9Je0cls-ah_bh1bMhNEObwXFJu6TJvRHsni6rEp-4sJ98HsNHUNjm9KzhjhtYo5mCgwJ9csy6688JFMavFIRrSJZH_jq7x5u_S_woKCoEDgWAfy08HRtIGw5WqG0L05iD4e1rXk9vMF9M5DMdnDDiH66_EPlwEbXIrLGjz-S51WFugN_xE_cvFhRVt6VOPaTP8Q6y2AP-LnzZiH-Ut28hbiQHJS8KpXfxdouQYLkEs0evyWY.Y0uWrQ7jhUClChgsLjhI7zuujlBf_9zz_i0gzHmim9E&amp;dib_tag=se&amp;keywords=IDMARKET+Meuble+WC+%C3%A9tag%C3%A8re+WILLY&amp;qid=1784287929&amp;sprefix=idmarket+meuble+wc+%C3%A9tag%C3%A8re+willy+%2Caps%2C131&amp;sr=8-4" TargetMode="External"/><Relationship Id="rId3" Type="http://schemas.openxmlformats.org/officeDocument/2006/relationships/hyperlink" Target="https://www.conforama.fr/canape-salon-sejour/canape/canape-convertible/canape-droit-convertible-gris-3-pl-darwin/p/107260" TargetMode="External"/><Relationship Id="rId7" Type="http://schemas.openxmlformats.org/officeDocument/2006/relationships/hyperlink" Target="https://www.conforama.fr/chambre-literie/literie/matelas-2-places/matelas-ressorts-140x190-cm-8-heures-fute/p/100620" TargetMode="External"/><Relationship Id="rId12" Type="http://schemas.openxmlformats.org/officeDocument/2006/relationships/hyperlink" Target="https://www.but.fr/produits/2099901444592/Vestiaire-d-entree-ARNOLD-Noir.html" TargetMode="External"/><Relationship Id="rId2" Type="http://schemas.openxmlformats.org/officeDocument/2006/relationships/hyperlink" Target="https://www.conforama.fr/canape-salon-sejour/salon/meuble-tv/meuble-tv-banc-tv-155-cm-tomy-2/p/103595" TargetMode="External"/><Relationship Id="rId1" Type="http://schemas.openxmlformats.org/officeDocument/2006/relationships/hyperlink" Target="https://www.conforama.fr/cuisine-salle-de-bain/meuble-de-cuisine/ensemble-table-et-chaise/ensemble-table-de-sejour-tony/p/794850" TargetMode="External"/><Relationship Id="rId6" Type="http://schemas.openxmlformats.org/officeDocument/2006/relationships/hyperlink" Target="https://www.conforama.fr/chambre-literie/literie/sommier-et-cadre-a-lattes/cadre-a-lattes-fixe-140x190-cm-nightitude-c34-f07/p/604976" TargetMode="External"/><Relationship Id="rId11" Type="http://schemas.openxmlformats.org/officeDocument/2006/relationships/hyperlink" Target="https://www.conforama.fr/chambre-literie/chambre-adulte/lit-adulte/lit-adulte-140x190-cm-watson/p/763891" TargetMode="External"/><Relationship Id="rId5" Type="http://schemas.openxmlformats.org/officeDocument/2006/relationships/hyperlink" Target="https://www.conforama.fr/enfant-bebe/decoration-chambre-enfant/bureau-enfant/bureau-110-cm-lugano/p/783297" TargetMode="External"/><Relationship Id="rId15" Type="http://schemas.openxmlformats.org/officeDocument/2006/relationships/printerSettings" Target="../printerSettings/printerSettings1.bin"/><Relationship Id="rId10" Type="http://schemas.openxmlformats.org/officeDocument/2006/relationships/hyperlink" Target="https://www.conforama.fr/cuisine-salle-de-bain/meuble-de-cuisine/meuble-micro-ondes-et-desserte/desserte-fumay-2/p/750063" TargetMode="External"/><Relationship Id="rId4" Type="http://schemas.openxmlformats.org/officeDocument/2006/relationships/hyperlink" Target="https://www.conforama.fr/chambre-literie/chambre-adulte/armoire/armoire-watson/p/763917" TargetMode="External"/><Relationship Id="rId9" Type="http://schemas.openxmlformats.org/officeDocument/2006/relationships/hyperlink" Target="https://www.conforama.fr/bureau-rangement/bureau/fauteuil-de-bureau/fauteuil-de-bureau-chaise-gaming-reglable-repose-pieds-telescopique-mecanisme-a-bascule-appui-tete-support-lombaire-charge-150-kg-noir-d-encre/p/Q60937965" TargetMode="External"/><Relationship Id="rId14" Type="http://schemas.openxmlformats.org/officeDocument/2006/relationships/hyperlink" Target="https://www.but.fr/produits/4894223218450/Table-basse-plateau-relevable-VINCENTE-Imitation-chene-noir.html?searchTerm=(autocompl%C3%A9tion)&amp;searchCategory=Recherche%20assist%C3%A9e%20Produ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9997ED-D37D-4F1D-9D2C-DF49B982F68B}">
  <sheetPr>
    <pageSetUpPr fitToPage="1"/>
  </sheetPr>
  <dimension ref="A1:T38"/>
  <sheetViews>
    <sheetView tabSelected="1" zoomScale="70" zoomScaleNormal="70" workbookViewId="0">
      <pane ySplit="1" topLeftCell="A8" activePane="bottomLeft" state="frozen"/>
      <selection pane="bottomLeft" activeCell="P8" sqref="P8"/>
    </sheetView>
  </sheetViews>
  <sheetFormatPr baseColWidth="10" defaultColWidth="10.73046875" defaultRowHeight="14.25" x14ac:dyDescent="0.45"/>
  <cols>
    <col min="1" max="2" width="10.73046875" style="14"/>
    <col min="3" max="3" width="22.265625" style="14" bestFit="1" customWidth="1"/>
    <col min="4" max="4" width="4.73046875" style="9" bestFit="1" customWidth="1"/>
    <col min="5" max="5" width="4.1328125" style="9" bestFit="1" customWidth="1"/>
    <col min="6" max="6" width="4.73046875" style="9" bestFit="1" customWidth="1"/>
    <col min="7" max="7" width="5.3984375" style="9" bestFit="1" customWidth="1"/>
    <col min="8" max="8" width="11.1328125" style="9" bestFit="1" customWidth="1"/>
    <col min="9" max="9" width="10.796875" style="24" bestFit="1" customWidth="1"/>
    <col min="10" max="10" width="10.59765625" style="13"/>
    <col min="11" max="17" width="10.73046875" style="14"/>
    <col min="18" max="18" width="65.73046875" style="16" customWidth="1"/>
    <col min="19" max="19" width="13.33203125" style="27" bestFit="1" customWidth="1"/>
    <col min="20" max="20" width="13.9296875" style="27" customWidth="1"/>
    <col min="21" max="16384" width="10.73046875" style="14"/>
  </cols>
  <sheetData>
    <row r="1" spans="1:20" s="1" customFormat="1" ht="15.75" x14ac:dyDescent="0.45">
      <c r="A1" s="1" t="s">
        <v>15</v>
      </c>
      <c r="B1" s="1" t="s">
        <v>30</v>
      </c>
      <c r="C1" s="2" t="s">
        <v>46</v>
      </c>
      <c r="D1" s="3" t="s">
        <v>8</v>
      </c>
      <c r="E1" s="3" t="s">
        <v>7</v>
      </c>
      <c r="F1" s="3" t="s">
        <v>6</v>
      </c>
      <c r="G1" s="3" t="s">
        <v>9</v>
      </c>
      <c r="H1" s="3" t="s">
        <v>36</v>
      </c>
      <c r="I1" s="23" t="s">
        <v>44</v>
      </c>
      <c r="J1" s="4" t="s">
        <v>13</v>
      </c>
      <c r="K1" s="1" t="s">
        <v>40</v>
      </c>
      <c r="L1" s="5">
        <f>-30%</f>
        <v>-0.3</v>
      </c>
      <c r="M1" s="5">
        <v>-0.4</v>
      </c>
      <c r="N1" s="5">
        <v>-0.5</v>
      </c>
      <c r="O1" s="5">
        <v>-0.6</v>
      </c>
      <c r="P1" s="1" t="s">
        <v>41</v>
      </c>
      <c r="Q1" s="1" t="s">
        <v>42</v>
      </c>
      <c r="R1" s="6" t="s">
        <v>45</v>
      </c>
      <c r="S1" s="26" t="s">
        <v>47</v>
      </c>
      <c r="T1" s="26" t="s">
        <v>48</v>
      </c>
    </row>
    <row r="2" spans="1:20" ht="147" x14ac:dyDescent="0.45">
      <c r="A2" s="7" t="s">
        <v>16</v>
      </c>
      <c r="B2" s="7" t="s">
        <v>31</v>
      </c>
      <c r="C2" s="8" t="s">
        <v>72</v>
      </c>
      <c r="D2" s="9">
        <v>99</v>
      </c>
      <c r="E2" s="9">
        <v>198</v>
      </c>
      <c r="F2" s="9">
        <v>89</v>
      </c>
      <c r="G2" s="10">
        <f t="shared" ref="G2:G14" si="0">(F2*E2*D2)/1000000</f>
        <v>1.744578</v>
      </c>
      <c r="H2" s="10" t="s">
        <v>37</v>
      </c>
      <c r="I2" s="24">
        <v>46054.000983796293</v>
      </c>
      <c r="J2" s="11">
        <v>900</v>
      </c>
      <c r="K2" s="13">
        <f t="shared" ref="K2:K35" si="1">L2</f>
        <v>630</v>
      </c>
      <c r="L2" s="12">
        <f t="shared" ref="L2:O15" si="2">$J2*(100%+L$1)</f>
        <v>630</v>
      </c>
      <c r="M2" s="12">
        <f t="shared" si="2"/>
        <v>540</v>
      </c>
      <c r="N2" s="12">
        <f t="shared" si="2"/>
        <v>450</v>
      </c>
      <c r="O2" s="12">
        <f t="shared" si="2"/>
        <v>360</v>
      </c>
      <c r="P2" s="14" t="s">
        <v>43</v>
      </c>
      <c r="Q2" s="14">
        <v>14</v>
      </c>
      <c r="R2" s="15" t="s">
        <v>87</v>
      </c>
      <c r="S2" s="27" t="s">
        <v>49</v>
      </c>
      <c r="T2" s="27" t="s">
        <v>55</v>
      </c>
    </row>
    <row r="3" spans="1:20" ht="105" x14ac:dyDescent="0.45">
      <c r="A3" s="7" t="s">
        <v>17</v>
      </c>
      <c r="B3" s="7" t="s">
        <v>31</v>
      </c>
      <c r="C3" s="8" t="s">
        <v>0</v>
      </c>
      <c r="D3" s="9">
        <v>100</v>
      </c>
      <c r="E3" s="9">
        <v>60</v>
      </c>
      <c r="F3" s="9">
        <v>45</v>
      </c>
      <c r="G3" s="10">
        <f t="shared" si="0"/>
        <v>0.27</v>
      </c>
      <c r="H3" s="10" t="s">
        <v>37</v>
      </c>
      <c r="I3" s="24">
        <v>46054.000983796293</v>
      </c>
      <c r="J3" s="11">
        <v>150</v>
      </c>
      <c r="K3" s="13">
        <f t="shared" si="1"/>
        <v>105</v>
      </c>
      <c r="L3" s="12">
        <f t="shared" si="2"/>
        <v>105</v>
      </c>
      <c r="M3" s="12">
        <f t="shared" si="2"/>
        <v>90</v>
      </c>
      <c r="N3" s="12">
        <f t="shared" si="2"/>
        <v>75</v>
      </c>
      <c r="O3" s="12">
        <f t="shared" si="2"/>
        <v>60</v>
      </c>
      <c r="P3" s="14" t="s">
        <v>43</v>
      </c>
      <c r="Q3" s="14">
        <v>5</v>
      </c>
      <c r="R3" s="15" t="s">
        <v>83</v>
      </c>
      <c r="S3" s="27" t="s">
        <v>50</v>
      </c>
      <c r="T3" s="27" t="s">
        <v>51</v>
      </c>
    </row>
    <row r="4" spans="1:20" ht="168" x14ac:dyDescent="0.45">
      <c r="A4" s="7" t="s">
        <v>18</v>
      </c>
      <c r="B4" s="7" t="s">
        <v>31</v>
      </c>
      <c r="C4" s="8" t="s">
        <v>1</v>
      </c>
      <c r="D4" s="9">
        <v>155</v>
      </c>
      <c r="E4" s="9">
        <v>40</v>
      </c>
      <c r="F4" s="9">
        <v>43</v>
      </c>
      <c r="G4" s="10">
        <f>(F4*E4*D4)/1000000</f>
        <v>0.2666</v>
      </c>
      <c r="H4" s="10" t="s">
        <v>37</v>
      </c>
      <c r="I4" s="24">
        <v>46054.000983796293</v>
      </c>
      <c r="J4" s="11">
        <v>100</v>
      </c>
      <c r="K4" s="13">
        <f t="shared" si="1"/>
        <v>70</v>
      </c>
      <c r="L4" s="12">
        <f t="shared" si="2"/>
        <v>70</v>
      </c>
      <c r="M4" s="12">
        <f t="shared" si="2"/>
        <v>60</v>
      </c>
      <c r="N4" s="12">
        <f t="shared" si="2"/>
        <v>50</v>
      </c>
      <c r="O4" s="12">
        <f t="shared" si="2"/>
        <v>40</v>
      </c>
      <c r="P4" s="14" t="s">
        <v>43</v>
      </c>
      <c r="Q4" s="14">
        <v>6</v>
      </c>
      <c r="R4" s="15" t="s">
        <v>86</v>
      </c>
      <c r="S4" s="27" t="s">
        <v>52</v>
      </c>
      <c r="T4" s="27" t="s">
        <v>53</v>
      </c>
    </row>
    <row r="5" spans="1:20" ht="210" x14ac:dyDescent="0.45">
      <c r="A5" s="7" t="s">
        <v>19</v>
      </c>
      <c r="B5" s="7" t="s">
        <v>32</v>
      </c>
      <c r="C5" s="8" t="s">
        <v>68</v>
      </c>
      <c r="D5" s="9">
        <v>120</v>
      </c>
      <c r="E5" s="9">
        <v>80</v>
      </c>
      <c r="F5" s="9">
        <v>75</v>
      </c>
      <c r="G5" s="10">
        <f t="shared" si="0"/>
        <v>0.72</v>
      </c>
      <c r="H5" s="10" t="s">
        <v>37</v>
      </c>
      <c r="I5" s="24">
        <v>46054.000983796293</v>
      </c>
      <c r="J5" s="11">
        <v>400</v>
      </c>
      <c r="K5" s="13">
        <f t="shared" si="1"/>
        <v>280</v>
      </c>
      <c r="L5" s="12">
        <f t="shared" si="2"/>
        <v>280</v>
      </c>
      <c r="M5" s="12">
        <f t="shared" si="2"/>
        <v>240</v>
      </c>
      <c r="N5" s="12">
        <f t="shared" si="2"/>
        <v>200</v>
      </c>
      <c r="O5" s="12">
        <f t="shared" si="2"/>
        <v>160</v>
      </c>
      <c r="P5" s="14" t="s">
        <v>43</v>
      </c>
      <c r="Q5" s="14">
        <v>7</v>
      </c>
      <c r="R5" s="15" t="s">
        <v>84</v>
      </c>
      <c r="S5" s="27" t="s">
        <v>54</v>
      </c>
      <c r="T5" s="27" t="s">
        <v>51</v>
      </c>
    </row>
    <row r="6" spans="1:20" ht="210" x14ac:dyDescent="0.45">
      <c r="A6" s="7" t="s">
        <v>20</v>
      </c>
      <c r="B6" s="7" t="s">
        <v>32</v>
      </c>
      <c r="C6" s="8" t="s">
        <v>12</v>
      </c>
      <c r="D6" s="9">
        <v>40</v>
      </c>
      <c r="E6" s="9">
        <v>75</v>
      </c>
      <c r="F6" s="9">
        <v>81</v>
      </c>
      <c r="G6" s="10">
        <f t="shared" si="0"/>
        <v>0.24299999999999999</v>
      </c>
      <c r="H6" s="10" t="s">
        <v>38</v>
      </c>
      <c r="I6" s="24">
        <v>45901.000983796293</v>
      </c>
      <c r="J6" s="11">
        <v>90</v>
      </c>
      <c r="K6" s="13">
        <f t="shared" si="1"/>
        <v>62.999999999999993</v>
      </c>
      <c r="L6" s="12">
        <f t="shared" si="2"/>
        <v>62.999999999999993</v>
      </c>
      <c r="M6" s="12">
        <f t="shared" si="2"/>
        <v>54</v>
      </c>
      <c r="N6" s="12">
        <f t="shared" si="2"/>
        <v>45</v>
      </c>
      <c r="O6" s="12">
        <f t="shared" si="2"/>
        <v>36</v>
      </c>
      <c r="P6" s="14" t="s">
        <v>43</v>
      </c>
      <c r="Q6" s="14">
        <v>9</v>
      </c>
      <c r="R6" s="15" t="s">
        <v>85</v>
      </c>
      <c r="S6" s="27" t="s">
        <v>56</v>
      </c>
      <c r="T6" s="27" t="s">
        <v>57</v>
      </c>
    </row>
    <row r="7" spans="1:20" ht="199.5" x14ac:dyDescent="0.45">
      <c r="A7" s="7" t="s">
        <v>21</v>
      </c>
      <c r="B7" s="7" t="s">
        <v>2</v>
      </c>
      <c r="C7" s="8" t="s">
        <v>2</v>
      </c>
      <c r="D7" s="9">
        <v>110</v>
      </c>
      <c r="E7" s="9">
        <v>55</v>
      </c>
      <c r="F7" s="9">
        <v>77</v>
      </c>
      <c r="G7" s="10">
        <f t="shared" si="0"/>
        <v>0.46584999999999999</v>
      </c>
      <c r="H7" s="10" t="s">
        <v>37</v>
      </c>
      <c r="I7" s="24">
        <v>46054.000983796293</v>
      </c>
      <c r="J7" s="11">
        <v>200</v>
      </c>
      <c r="K7" s="13">
        <f t="shared" si="1"/>
        <v>140</v>
      </c>
      <c r="L7" s="12">
        <f t="shared" si="2"/>
        <v>140</v>
      </c>
      <c r="M7" s="12">
        <f t="shared" si="2"/>
        <v>120</v>
      </c>
      <c r="N7" s="12">
        <f t="shared" si="2"/>
        <v>100</v>
      </c>
      <c r="O7" s="12">
        <f t="shared" si="2"/>
        <v>80</v>
      </c>
      <c r="P7" s="14" t="s">
        <v>43</v>
      </c>
      <c r="Q7" s="14">
        <v>6</v>
      </c>
      <c r="R7" s="15" t="s">
        <v>76</v>
      </c>
      <c r="S7" s="27" t="s">
        <v>58</v>
      </c>
      <c r="T7" s="27" t="s">
        <v>57</v>
      </c>
    </row>
    <row r="8" spans="1:20" ht="315" x14ac:dyDescent="0.45">
      <c r="A8" s="7" t="s">
        <v>22</v>
      </c>
      <c r="B8" s="7" t="s">
        <v>2</v>
      </c>
      <c r="C8" s="8" t="s">
        <v>10</v>
      </c>
      <c r="D8" s="9">
        <v>67</v>
      </c>
      <c r="E8" s="9">
        <v>66</v>
      </c>
      <c r="F8" s="9">
        <v>57</v>
      </c>
      <c r="G8" s="10">
        <f t="shared" si="0"/>
        <v>0.252054</v>
      </c>
      <c r="H8" s="10" t="s">
        <v>38</v>
      </c>
      <c r="I8" s="24">
        <v>46054.000983796293</v>
      </c>
      <c r="J8" s="11">
        <v>130</v>
      </c>
      <c r="K8" s="13">
        <f t="shared" si="1"/>
        <v>91</v>
      </c>
      <c r="L8" s="12">
        <f t="shared" si="2"/>
        <v>91</v>
      </c>
      <c r="M8" s="12">
        <f t="shared" si="2"/>
        <v>78</v>
      </c>
      <c r="N8" s="12">
        <f t="shared" si="2"/>
        <v>65</v>
      </c>
      <c r="O8" s="12">
        <f t="shared" si="2"/>
        <v>52</v>
      </c>
      <c r="P8" s="14" t="s">
        <v>88</v>
      </c>
      <c r="Q8" s="14">
        <v>5</v>
      </c>
      <c r="R8" s="15" t="s">
        <v>77</v>
      </c>
      <c r="S8" s="27" t="s">
        <v>59</v>
      </c>
      <c r="T8" s="27" t="s">
        <v>60</v>
      </c>
    </row>
    <row r="9" spans="1:20" ht="147" x14ac:dyDescent="0.45">
      <c r="A9" s="7" t="s">
        <v>23</v>
      </c>
      <c r="B9" s="7" t="s">
        <v>33</v>
      </c>
      <c r="C9" s="8" t="s">
        <v>3</v>
      </c>
      <c r="D9" s="9">
        <v>195</v>
      </c>
      <c r="E9" s="9">
        <v>149</v>
      </c>
      <c r="F9" s="9">
        <v>72</v>
      </c>
      <c r="G9" s="10">
        <f t="shared" si="0"/>
        <v>2.0919599999999998</v>
      </c>
      <c r="H9" s="10" t="s">
        <v>39</v>
      </c>
      <c r="I9" s="24">
        <v>46054.000983796293</v>
      </c>
      <c r="J9" s="11">
        <v>100</v>
      </c>
      <c r="K9" s="13">
        <f t="shared" si="1"/>
        <v>70</v>
      </c>
      <c r="L9" s="12">
        <f t="shared" si="2"/>
        <v>70</v>
      </c>
      <c r="M9" s="12">
        <f t="shared" si="2"/>
        <v>60</v>
      </c>
      <c r="N9" s="12">
        <f t="shared" si="2"/>
        <v>50</v>
      </c>
      <c r="O9" s="12">
        <f t="shared" si="2"/>
        <v>40</v>
      </c>
      <c r="P9" s="14" t="s">
        <v>43</v>
      </c>
      <c r="Q9" s="14">
        <v>9</v>
      </c>
      <c r="R9" s="15" t="s">
        <v>78</v>
      </c>
      <c r="S9" s="27" t="s">
        <v>61</v>
      </c>
      <c r="T9" s="27" t="s">
        <v>57</v>
      </c>
    </row>
    <row r="10" spans="1:20" ht="168" x14ac:dyDescent="0.45">
      <c r="A10" s="7" t="s">
        <v>24</v>
      </c>
      <c r="B10" s="7" t="s">
        <v>33</v>
      </c>
      <c r="C10" s="8" t="s">
        <v>69</v>
      </c>
      <c r="D10" s="9">
        <v>35</v>
      </c>
      <c r="E10" s="9">
        <v>40</v>
      </c>
      <c r="F10" s="9">
        <v>32</v>
      </c>
      <c r="G10" s="10">
        <f t="shared" si="0"/>
        <v>4.48E-2</v>
      </c>
      <c r="H10" s="10" t="s">
        <v>37</v>
      </c>
      <c r="I10" s="24">
        <v>46054.000983796293</v>
      </c>
      <c r="J10" s="11">
        <v>70</v>
      </c>
      <c r="K10" s="13">
        <f t="shared" si="1"/>
        <v>49</v>
      </c>
      <c r="L10" s="12">
        <f t="shared" si="2"/>
        <v>49</v>
      </c>
      <c r="M10" s="12">
        <f t="shared" si="2"/>
        <v>42</v>
      </c>
      <c r="N10" s="12">
        <f t="shared" si="2"/>
        <v>35</v>
      </c>
      <c r="O10" s="12">
        <f t="shared" si="2"/>
        <v>28</v>
      </c>
      <c r="P10" s="14" t="s">
        <v>43</v>
      </c>
      <c r="Q10" s="14">
        <v>7</v>
      </c>
      <c r="R10" s="15" t="s">
        <v>79</v>
      </c>
      <c r="S10" s="27" t="s">
        <v>61</v>
      </c>
      <c r="T10" s="27" t="s">
        <v>57</v>
      </c>
    </row>
    <row r="11" spans="1:20" ht="189" x14ac:dyDescent="0.45">
      <c r="A11" s="7" t="s">
        <v>25</v>
      </c>
      <c r="B11" s="7" t="s">
        <v>33</v>
      </c>
      <c r="C11" s="8" t="s">
        <v>5</v>
      </c>
      <c r="D11" s="9">
        <v>190</v>
      </c>
      <c r="E11" s="9">
        <v>140</v>
      </c>
      <c r="F11" s="9">
        <v>21</v>
      </c>
      <c r="G11" s="10">
        <f t="shared" si="0"/>
        <v>0.55859999999999999</v>
      </c>
      <c r="H11" s="10" t="s">
        <v>39</v>
      </c>
      <c r="I11" s="24">
        <v>46054.000983796293</v>
      </c>
      <c r="J11" s="11">
        <v>300</v>
      </c>
      <c r="K11" s="13">
        <f t="shared" si="1"/>
        <v>210</v>
      </c>
      <c r="L11" s="12">
        <f t="shared" si="2"/>
        <v>210</v>
      </c>
      <c r="M11" s="12">
        <f t="shared" si="2"/>
        <v>180</v>
      </c>
      <c r="N11" s="12">
        <f t="shared" si="2"/>
        <v>150</v>
      </c>
      <c r="O11" s="12">
        <f t="shared" si="2"/>
        <v>120</v>
      </c>
      <c r="P11" s="14" t="s">
        <v>43</v>
      </c>
      <c r="Q11" s="14">
        <v>7</v>
      </c>
      <c r="R11" s="15" t="s">
        <v>80</v>
      </c>
      <c r="S11" s="27" t="s">
        <v>63</v>
      </c>
      <c r="T11" s="27" t="s">
        <v>62</v>
      </c>
    </row>
    <row r="12" spans="1:20" ht="178.5" x14ac:dyDescent="0.45">
      <c r="A12" s="7" t="s">
        <v>26</v>
      </c>
      <c r="B12" s="7" t="s">
        <v>33</v>
      </c>
      <c r="C12" s="8" t="s">
        <v>11</v>
      </c>
      <c r="D12" s="9">
        <v>190</v>
      </c>
      <c r="E12" s="9">
        <v>140</v>
      </c>
      <c r="F12" s="9">
        <v>5</v>
      </c>
      <c r="G12" s="10">
        <f t="shared" si="0"/>
        <v>0.13300000000000001</v>
      </c>
      <c r="H12" s="10" t="s">
        <v>37</v>
      </c>
      <c r="I12" s="24">
        <v>46054.000983796293</v>
      </c>
      <c r="J12" s="11">
        <v>140</v>
      </c>
      <c r="K12" s="13">
        <f t="shared" si="1"/>
        <v>98</v>
      </c>
      <c r="L12" s="12">
        <f t="shared" si="2"/>
        <v>98</v>
      </c>
      <c r="M12" s="12">
        <f t="shared" si="2"/>
        <v>84</v>
      </c>
      <c r="N12" s="12">
        <f t="shared" si="2"/>
        <v>70</v>
      </c>
      <c r="O12" s="12">
        <f t="shared" si="2"/>
        <v>56</v>
      </c>
      <c r="P12" s="14" t="s">
        <v>43</v>
      </c>
      <c r="Q12" s="14">
        <v>1</v>
      </c>
      <c r="R12" s="15" t="s">
        <v>81</v>
      </c>
      <c r="S12" s="27" t="s">
        <v>49</v>
      </c>
      <c r="T12" s="27" t="s">
        <v>64</v>
      </c>
    </row>
    <row r="13" spans="1:20" ht="168" x14ac:dyDescent="0.45">
      <c r="A13" s="7" t="s">
        <v>27</v>
      </c>
      <c r="B13" s="7" t="s">
        <v>33</v>
      </c>
      <c r="C13" s="8" t="s">
        <v>70</v>
      </c>
      <c r="D13" s="9">
        <v>52</v>
      </c>
      <c r="E13" s="9">
        <v>134</v>
      </c>
      <c r="F13" s="9">
        <v>192</v>
      </c>
      <c r="G13" s="10">
        <f t="shared" si="0"/>
        <v>1.3378559999999999</v>
      </c>
      <c r="H13" s="10" t="s">
        <v>37</v>
      </c>
      <c r="I13" s="24">
        <v>46054.000983796293</v>
      </c>
      <c r="J13" s="11">
        <v>250</v>
      </c>
      <c r="K13" s="13">
        <f t="shared" si="1"/>
        <v>175</v>
      </c>
      <c r="L13" s="12">
        <f t="shared" si="2"/>
        <v>175</v>
      </c>
      <c r="M13" s="12">
        <f t="shared" si="2"/>
        <v>150</v>
      </c>
      <c r="N13" s="12">
        <f t="shared" si="2"/>
        <v>125</v>
      </c>
      <c r="O13" s="12">
        <f t="shared" si="2"/>
        <v>100</v>
      </c>
      <c r="P13" s="14" t="s">
        <v>43</v>
      </c>
      <c r="Q13" s="14">
        <v>8</v>
      </c>
      <c r="R13" s="15" t="s">
        <v>82</v>
      </c>
      <c r="S13" s="27" t="s">
        <v>61</v>
      </c>
      <c r="T13" s="27" t="s">
        <v>57</v>
      </c>
    </row>
    <row r="14" spans="1:20" ht="94.5" x14ac:dyDescent="0.45">
      <c r="A14" s="7" t="s">
        <v>28</v>
      </c>
      <c r="B14" s="7" t="s">
        <v>34</v>
      </c>
      <c r="C14" s="8" t="s">
        <v>4</v>
      </c>
      <c r="D14" s="9">
        <v>70</v>
      </c>
      <c r="E14" s="9">
        <v>33</v>
      </c>
      <c r="F14" s="9">
        <v>180</v>
      </c>
      <c r="G14" s="10">
        <f t="shared" si="0"/>
        <v>0.4158</v>
      </c>
      <c r="H14" s="10" t="s">
        <v>37</v>
      </c>
      <c r="I14" s="24">
        <v>46054.000983796293</v>
      </c>
      <c r="J14" s="11">
        <v>56</v>
      </c>
      <c r="K14" s="13">
        <f t="shared" si="1"/>
        <v>39.199999999999996</v>
      </c>
      <c r="L14" s="12">
        <f t="shared" si="2"/>
        <v>39.199999999999996</v>
      </c>
      <c r="M14" s="12">
        <f t="shared" si="2"/>
        <v>33.6</v>
      </c>
      <c r="N14" s="12">
        <f t="shared" si="2"/>
        <v>28</v>
      </c>
      <c r="O14" s="12">
        <f t="shared" si="2"/>
        <v>22.400000000000002</v>
      </c>
      <c r="P14" s="14" t="s">
        <v>43</v>
      </c>
      <c r="Q14" s="14">
        <v>4</v>
      </c>
      <c r="R14" s="15" t="s">
        <v>74</v>
      </c>
      <c r="S14" s="27" t="s">
        <v>65</v>
      </c>
      <c r="T14" s="27" t="s">
        <v>53</v>
      </c>
    </row>
    <row r="15" spans="1:20" ht="168" x14ac:dyDescent="0.45">
      <c r="A15" s="7" t="s">
        <v>29</v>
      </c>
      <c r="B15" s="7" t="s">
        <v>35</v>
      </c>
      <c r="C15" s="8" t="s">
        <v>71</v>
      </c>
      <c r="G15" s="10"/>
      <c r="H15" s="10" t="s">
        <v>37</v>
      </c>
      <c r="I15" s="24">
        <v>46054.000983796293</v>
      </c>
      <c r="J15" s="11">
        <v>55</v>
      </c>
      <c r="K15" s="13">
        <f t="shared" si="1"/>
        <v>38.5</v>
      </c>
      <c r="L15" s="12">
        <f t="shared" si="2"/>
        <v>38.5</v>
      </c>
      <c r="M15" s="12">
        <f t="shared" si="2"/>
        <v>33</v>
      </c>
      <c r="N15" s="12">
        <f t="shared" si="2"/>
        <v>27.5</v>
      </c>
      <c r="O15" s="12">
        <f t="shared" si="2"/>
        <v>22</v>
      </c>
      <c r="P15" s="14" t="s">
        <v>73</v>
      </c>
      <c r="Q15" s="14">
        <v>6</v>
      </c>
      <c r="R15" s="15" t="s">
        <v>75</v>
      </c>
      <c r="S15" s="27" t="s">
        <v>66</v>
      </c>
      <c r="T15" s="27" t="s">
        <v>67</v>
      </c>
    </row>
    <row r="16" spans="1:20" x14ac:dyDescent="0.45">
      <c r="C16" s="17"/>
      <c r="D16" s="18"/>
      <c r="E16" s="18"/>
      <c r="F16" s="18"/>
      <c r="G16" s="19">
        <f>SUM(G2:G14)</f>
        <v>8.5440980000000017</v>
      </c>
      <c r="H16" s="19"/>
      <c r="I16" s="25"/>
      <c r="J16" s="20">
        <f>SUM(J2:J15)</f>
        <v>2941</v>
      </c>
      <c r="K16" s="13">
        <f t="shared" si="1"/>
        <v>2058.6999999999998</v>
      </c>
      <c r="L16" s="21">
        <f>SUM(L2:L15)</f>
        <v>2058.6999999999998</v>
      </c>
      <c r="M16" s="21">
        <f>SUM(M2:M15)</f>
        <v>1764.6</v>
      </c>
      <c r="N16" s="21">
        <f>SUM(N2:N15)</f>
        <v>1470.5</v>
      </c>
      <c r="O16" s="21">
        <f>SUM(O2:O15)</f>
        <v>1176.4000000000001</v>
      </c>
    </row>
    <row r="17" spans="3:15" hidden="1" x14ac:dyDescent="0.45">
      <c r="C17" s="22" t="s">
        <v>14</v>
      </c>
      <c r="J17" s="13">
        <v>100</v>
      </c>
      <c r="K17" s="13">
        <f t="shared" si="1"/>
        <v>0</v>
      </c>
    </row>
    <row r="18" spans="3:15" hidden="1" x14ac:dyDescent="0.45">
      <c r="J18" s="13" t="e">
        <f>+$J$17*(#REF!-1)</f>
        <v>#REF!</v>
      </c>
      <c r="K18" s="13" t="e">
        <f t="shared" si="1"/>
        <v>#REF!</v>
      </c>
      <c r="L18" s="13" t="e">
        <f t="shared" ref="L18:O29" si="3">L$16-$J18</f>
        <v>#REF!</v>
      </c>
      <c r="M18" s="13" t="e">
        <f t="shared" si="3"/>
        <v>#REF!</v>
      </c>
      <c r="N18" s="13" t="e">
        <f t="shared" si="3"/>
        <v>#REF!</v>
      </c>
      <c r="O18" s="13" t="e">
        <f t="shared" si="3"/>
        <v>#REF!</v>
      </c>
    </row>
    <row r="19" spans="3:15" hidden="1" x14ac:dyDescent="0.45">
      <c r="J19" s="13" t="e">
        <f>+$J$17*(#REF!-1)</f>
        <v>#REF!</v>
      </c>
      <c r="K19" s="13" t="e">
        <f t="shared" si="1"/>
        <v>#REF!</v>
      </c>
      <c r="L19" s="13" t="e">
        <f t="shared" si="3"/>
        <v>#REF!</v>
      </c>
      <c r="M19" s="13" t="e">
        <f t="shared" si="3"/>
        <v>#REF!</v>
      </c>
      <c r="N19" s="13" t="e">
        <f t="shared" si="3"/>
        <v>#REF!</v>
      </c>
      <c r="O19" s="13" t="e">
        <f t="shared" si="3"/>
        <v>#REF!</v>
      </c>
    </row>
    <row r="20" spans="3:15" hidden="1" x14ac:dyDescent="0.45">
      <c r="J20" s="13" t="e">
        <f>+$J$17*(#REF!-1)</f>
        <v>#REF!</v>
      </c>
      <c r="K20" s="13" t="e">
        <f t="shared" si="1"/>
        <v>#REF!</v>
      </c>
      <c r="L20" s="13" t="e">
        <f t="shared" si="3"/>
        <v>#REF!</v>
      </c>
      <c r="M20" s="13" t="e">
        <f t="shared" si="3"/>
        <v>#REF!</v>
      </c>
      <c r="N20" s="13" t="e">
        <f t="shared" si="3"/>
        <v>#REF!</v>
      </c>
      <c r="O20" s="13" t="e">
        <f t="shared" si="3"/>
        <v>#REF!</v>
      </c>
    </row>
    <row r="21" spans="3:15" hidden="1" x14ac:dyDescent="0.45">
      <c r="J21" s="13" t="e">
        <f>+$J$17*(#REF!-1)</f>
        <v>#REF!</v>
      </c>
      <c r="K21" s="13" t="e">
        <f t="shared" si="1"/>
        <v>#REF!</v>
      </c>
      <c r="L21" s="13" t="e">
        <f t="shared" si="3"/>
        <v>#REF!</v>
      </c>
      <c r="M21" s="13" t="e">
        <f t="shared" si="3"/>
        <v>#REF!</v>
      </c>
      <c r="N21" s="13" t="e">
        <f t="shared" si="3"/>
        <v>#REF!</v>
      </c>
      <c r="O21" s="13" t="e">
        <f t="shared" si="3"/>
        <v>#REF!</v>
      </c>
    </row>
    <row r="22" spans="3:15" hidden="1" x14ac:dyDescent="0.45">
      <c r="J22" s="13" t="e">
        <f>+$J$17*(#REF!-1)</f>
        <v>#REF!</v>
      </c>
      <c r="K22" s="13" t="e">
        <f t="shared" si="1"/>
        <v>#REF!</v>
      </c>
      <c r="L22" s="13" t="e">
        <f t="shared" si="3"/>
        <v>#REF!</v>
      </c>
      <c r="M22" s="13" t="e">
        <f t="shared" si="3"/>
        <v>#REF!</v>
      </c>
      <c r="N22" s="13" t="e">
        <f t="shared" si="3"/>
        <v>#REF!</v>
      </c>
      <c r="O22" s="13" t="e">
        <f t="shared" si="3"/>
        <v>#REF!</v>
      </c>
    </row>
    <row r="23" spans="3:15" hidden="1" x14ac:dyDescent="0.45">
      <c r="J23" s="13" t="e">
        <f>+$J$17*(#REF!-1)</f>
        <v>#REF!</v>
      </c>
      <c r="K23" s="13" t="e">
        <f t="shared" si="1"/>
        <v>#REF!</v>
      </c>
      <c r="L23" s="13" t="e">
        <f t="shared" si="3"/>
        <v>#REF!</v>
      </c>
      <c r="M23" s="13" t="e">
        <f t="shared" si="3"/>
        <v>#REF!</v>
      </c>
      <c r="N23" s="13" t="e">
        <f t="shared" si="3"/>
        <v>#REF!</v>
      </c>
      <c r="O23" s="13" t="e">
        <f t="shared" si="3"/>
        <v>#REF!</v>
      </c>
    </row>
    <row r="24" spans="3:15" hidden="1" x14ac:dyDescent="0.45">
      <c r="J24" s="13" t="e">
        <f>+$J$17*(#REF!-1)</f>
        <v>#REF!</v>
      </c>
      <c r="K24" s="13" t="e">
        <f t="shared" si="1"/>
        <v>#REF!</v>
      </c>
      <c r="L24" s="13" t="e">
        <f t="shared" si="3"/>
        <v>#REF!</v>
      </c>
      <c r="M24" s="13" t="e">
        <f t="shared" si="3"/>
        <v>#REF!</v>
      </c>
      <c r="N24" s="13" t="e">
        <f t="shared" si="3"/>
        <v>#REF!</v>
      </c>
      <c r="O24" s="13" t="e">
        <f t="shared" si="3"/>
        <v>#REF!</v>
      </c>
    </row>
    <row r="25" spans="3:15" hidden="1" x14ac:dyDescent="0.45">
      <c r="J25" s="13" t="e">
        <f>+$J$17*(#REF!-1)</f>
        <v>#REF!</v>
      </c>
      <c r="K25" s="13" t="e">
        <f t="shared" si="1"/>
        <v>#REF!</v>
      </c>
      <c r="L25" s="13" t="e">
        <f t="shared" si="3"/>
        <v>#REF!</v>
      </c>
      <c r="M25" s="13" t="e">
        <f t="shared" si="3"/>
        <v>#REF!</v>
      </c>
      <c r="N25" s="13" t="e">
        <f t="shared" si="3"/>
        <v>#REF!</v>
      </c>
      <c r="O25" s="13" t="e">
        <f t="shared" si="3"/>
        <v>#REF!</v>
      </c>
    </row>
    <row r="26" spans="3:15" hidden="1" x14ac:dyDescent="0.45">
      <c r="J26" s="13" t="e">
        <f>+$J$17*(#REF!-1)</f>
        <v>#REF!</v>
      </c>
      <c r="K26" s="13" t="e">
        <f t="shared" si="1"/>
        <v>#REF!</v>
      </c>
      <c r="L26" s="13" t="e">
        <f t="shared" si="3"/>
        <v>#REF!</v>
      </c>
      <c r="M26" s="13" t="e">
        <f t="shared" si="3"/>
        <v>#REF!</v>
      </c>
      <c r="N26" s="13" t="e">
        <f t="shared" si="3"/>
        <v>#REF!</v>
      </c>
      <c r="O26" s="13" t="e">
        <f t="shared" si="3"/>
        <v>#REF!</v>
      </c>
    </row>
    <row r="27" spans="3:15" hidden="1" x14ac:dyDescent="0.45">
      <c r="J27" s="13" t="e">
        <f>+$J$17*(#REF!-1)</f>
        <v>#REF!</v>
      </c>
      <c r="K27" s="13" t="e">
        <f t="shared" si="1"/>
        <v>#REF!</v>
      </c>
      <c r="L27" s="13" t="e">
        <f t="shared" si="3"/>
        <v>#REF!</v>
      </c>
      <c r="M27" s="13" t="e">
        <f t="shared" si="3"/>
        <v>#REF!</v>
      </c>
      <c r="N27" s="13" t="e">
        <f t="shared" si="3"/>
        <v>#REF!</v>
      </c>
      <c r="O27" s="13" t="e">
        <f t="shared" si="3"/>
        <v>#REF!</v>
      </c>
    </row>
    <row r="28" spans="3:15" hidden="1" x14ac:dyDescent="0.45">
      <c r="J28" s="13" t="e">
        <f>+$J$17*(#REF!-1)</f>
        <v>#REF!</v>
      </c>
      <c r="K28" s="13" t="e">
        <f t="shared" si="1"/>
        <v>#REF!</v>
      </c>
      <c r="L28" s="13" t="e">
        <f t="shared" si="3"/>
        <v>#REF!</v>
      </c>
      <c r="M28" s="13" t="e">
        <f t="shared" si="3"/>
        <v>#REF!</v>
      </c>
      <c r="N28" s="13" t="e">
        <f t="shared" si="3"/>
        <v>#REF!</v>
      </c>
      <c r="O28" s="13" t="e">
        <f t="shared" si="3"/>
        <v>#REF!</v>
      </c>
    </row>
    <row r="29" spans="3:15" hidden="1" x14ac:dyDescent="0.45">
      <c r="J29" s="13" t="e">
        <f>+$J$17*(#REF!-1)</f>
        <v>#REF!</v>
      </c>
      <c r="K29" s="13" t="e">
        <f t="shared" si="1"/>
        <v>#REF!</v>
      </c>
      <c r="L29" s="13" t="e">
        <f t="shared" si="3"/>
        <v>#REF!</v>
      </c>
      <c r="M29" s="13" t="e">
        <f t="shared" si="3"/>
        <v>#REF!</v>
      </c>
      <c r="N29" s="13" t="e">
        <f t="shared" si="3"/>
        <v>#REF!</v>
      </c>
      <c r="O29" s="13" t="e">
        <f t="shared" si="3"/>
        <v>#REF!</v>
      </c>
    </row>
    <row r="30" spans="3:15" hidden="1" x14ac:dyDescent="0.45">
      <c r="J30" s="13" t="e">
        <f>+$J$17*(#REF!-1)</f>
        <v>#REF!</v>
      </c>
      <c r="K30" s="13" t="e">
        <f t="shared" si="1"/>
        <v>#REF!</v>
      </c>
      <c r="L30" s="13" t="e">
        <f t="shared" ref="L30:N32" si="4">L$16-$J30</f>
        <v>#REF!</v>
      </c>
      <c r="M30" s="13" t="e">
        <f t="shared" si="4"/>
        <v>#REF!</v>
      </c>
      <c r="N30" s="13" t="e">
        <f t="shared" si="4"/>
        <v>#REF!</v>
      </c>
      <c r="O30" s="13"/>
    </row>
    <row r="31" spans="3:15" hidden="1" x14ac:dyDescent="0.45">
      <c r="J31" s="13" t="e">
        <f>+$J$17*(#REF!-1)</f>
        <v>#REF!</v>
      </c>
      <c r="K31" s="13" t="e">
        <f t="shared" si="1"/>
        <v>#REF!</v>
      </c>
      <c r="L31" s="13" t="e">
        <f t="shared" si="4"/>
        <v>#REF!</v>
      </c>
      <c r="M31" s="13" t="e">
        <f t="shared" si="4"/>
        <v>#REF!</v>
      </c>
      <c r="N31" s="13" t="e">
        <f t="shared" si="4"/>
        <v>#REF!</v>
      </c>
      <c r="O31" s="13"/>
    </row>
    <row r="32" spans="3:15" hidden="1" x14ac:dyDescent="0.45">
      <c r="J32" s="13" t="e">
        <f>+$J$17*(#REF!-1)</f>
        <v>#REF!</v>
      </c>
      <c r="K32" s="13" t="e">
        <f t="shared" si="1"/>
        <v>#REF!</v>
      </c>
      <c r="L32" s="13" t="e">
        <f t="shared" si="4"/>
        <v>#REF!</v>
      </c>
      <c r="M32" s="13" t="e">
        <f t="shared" si="4"/>
        <v>#REF!</v>
      </c>
      <c r="N32" s="13" t="e">
        <f t="shared" si="4"/>
        <v>#REF!</v>
      </c>
      <c r="O32" s="13"/>
    </row>
    <row r="33" spans="10:15" hidden="1" x14ac:dyDescent="0.45">
      <c r="J33" s="13" t="e">
        <f>+$J$17*(#REF!-1)</f>
        <v>#REF!</v>
      </c>
      <c r="K33" s="13" t="e">
        <f t="shared" si="1"/>
        <v>#REF!</v>
      </c>
      <c r="L33" s="13" t="e">
        <f t="shared" ref="L33:M35" si="5">L$16-$J33</f>
        <v>#REF!</v>
      </c>
      <c r="M33" s="13" t="e">
        <f t="shared" si="5"/>
        <v>#REF!</v>
      </c>
      <c r="N33" s="13"/>
      <c r="O33" s="13"/>
    </row>
    <row r="34" spans="10:15" hidden="1" x14ac:dyDescent="0.45">
      <c r="J34" s="13" t="e">
        <f>+$J$17*(#REF!-1)</f>
        <v>#REF!</v>
      </c>
      <c r="K34" s="13" t="e">
        <f t="shared" si="1"/>
        <v>#REF!</v>
      </c>
      <c r="L34" s="13" t="e">
        <f t="shared" si="5"/>
        <v>#REF!</v>
      </c>
      <c r="M34" s="13" t="e">
        <f t="shared" si="5"/>
        <v>#REF!</v>
      </c>
      <c r="N34" s="13"/>
      <c r="O34" s="13"/>
    </row>
    <row r="35" spans="10:15" hidden="1" x14ac:dyDescent="0.45">
      <c r="J35" s="13" t="e">
        <f>+$J$17*(#REF!-1)</f>
        <v>#REF!</v>
      </c>
      <c r="K35" s="13" t="e">
        <f t="shared" si="1"/>
        <v>#REF!</v>
      </c>
      <c r="L35" s="13" t="e">
        <f t="shared" si="5"/>
        <v>#REF!</v>
      </c>
      <c r="M35" s="13" t="e">
        <f t="shared" si="5"/>
        <v>#REF!</v>
      </c>
      <c r="N35" s="13"/>
      <c r="O35" s="13"/>
    </row>
    <row r="36" spans="10:15" hidden="1" x14ac:dyDescent="0.45"/>
    <row r="37" spans="10:15" hidden="1" x14ac:dyDescent="0.45"/>
    <row r="38" spans="10:15" hidden="1" x14ac:dyDescent="0.45"/>
  </sheetData>
  <phoneticPr fontId="3" type="noConversion"/>
  <hyperlinks>
    <hyperlink ref="C5" r:id="rId1" display="Table de sejour +4 Chaises" xr:uid="{C62995D2-FF24-443D-BA8A-7875E387AEAD}"/>
    <hyperlink ref="C4" r:id="rId2" xr:uid="{8F536EEE-E19C-4DAD-A73B-FB6F92DC253D}"/>
    <hyperlink ref="C2" r:id="rId3" display="Canapé" xr:uid="{D1565B12-7A98-4B4D-B0B5-D76BC5CFD936}"/>
    <hyperlink ref="C13" r:id="rId4" display="Garde robe" xr:uid="{A4DA1E62-7C24-431D-96B4-77E773792DD1}"/>
    <hyperlink ref="C7" r:id="rId5" xr:uid="{5DDDA6C2-FF4C-4274-91B6-EE910F03562F}"/>
    <hyperlink ref="C12" r:id="rId6" xr:uid="{235AF5DF-1A27-4BB0-9A7C-ADB0B0242746}"/>
    <hyperlink ref="C11" r:id="rId7" xr:uid="{9C96060A-FFF0-403E-A39F-41CB58008F6F}"/>
    <hyperlink ref="C10" r:id="rId8" display="Chevet X 2" xr:uid="{6DD40177-1F9F-46DF-B987-10D13DCD288A}"/>
    <hyperlink ref="C8" r:id="rId9" xr:uid="{F8A16020-C4EC-4E34-8AAB-D8630A17F1BE}"/>
    <hyperlink ref="C6" r:id="rId10" xr:uid="{D56B75CE-365D-4830-8DE4-13DB07FE500C}"/>
    <hyperlink ref="C9" r:id="rId11" xr:uid="{7D3BD571-9C5F-48C0-AF7D-2B1FDBF97605}"/>
    <hyperlink ref="C14" r:id="rId12" xr:uid="{1788A570-CCDD-4388-A268-98E26BB3F5F3}"/>
    <hyperlink ref="C15" r:id="rId13" display="Meuble WC x 2" xr:uid="{C491221A-10A9-44FC-9AE4-F50A15B65ADE}"/>
    <hyperlink ref="C3" r:id="rId14" xr:uid="{ACF81FB8-A756-4EC8-A0D3-30EDF1462BCF}"/>
  </hyperlinks>
  <pageMargins left="0.7" right="0.7" top="0.75" bottom="0.75" header="0.3" footer="0.3"/>
  <pageSetup paperSize="9" orientation="landscape" r:id="rId1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Meubles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Anne-Christine BOILEAU</dc:creator>
  <cp:lastModifiedBy>Anne-Christine BOILEAU</cp:lastModifiedBy>
  <cp:lastPrinted>2026-07-17T07:31:21Z</cp:lastPrinted>
  <dcterms:created xsi:type="dcterms:W3CDTF">2026-07-17T06:09:02Z</dcterms:created>
  <dcterms:modified xsi:type="dcterms:W3CDTF">2026-08-10T16:14:45Z</dcterms:modified>
</cp:coreProperties>
</file>