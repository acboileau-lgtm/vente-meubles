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B0A4CDDD-5798-4E19-9CE6-08A88EEB60CF}"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<sst xmlns="http://schemas.openxmlformats.org/spreadsheetml/2006/main" count="129" uniqueCount="88">
  <si>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</si>
  <si>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</si>
  <si>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</si>
  <si>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</si>
  <si>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</si>
  <si>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</si>
  <si>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</si>
  <si>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</si>
  <si>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</si>
  <si>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</si>
  <si>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</si>
  <si>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</si>
  <si>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</si>
  <si>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</si>
  <si>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</si>
  <si>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</si>
  <si>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</si>
  <si>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</si>
  <si>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</si>
  <si>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</si>
  <si>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</si>
  <si>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</si>
  <si>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</si>
  <si>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</si>
  <si>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</si>
  <si>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</si>
  <si>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</si>
  <si>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</si>
  <si>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</si>
  <si>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</si>
  <si>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</si>
  <si>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</si>
  <si>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</si>
  <si>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</si>
  <si>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</si>
  <si>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</si>
  <si>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</si>
  <si>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</si>
  <si>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</si>
  <si>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</si>
  <si>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</si>
  <si>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</si>
  <si>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</si>
  <si>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</si>
  <si>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</si>
  <si>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</si>
  <si>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</si>
  <si>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</si>
  <si>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</si>
  <si>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</si>
  <si>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</si>
  <si>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</si>
  <si>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</si>
  <si>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</si>
  <si>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</si>
  <si>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</si>
  <si>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</si>
  <si>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</si>
  <si>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</si>
  <si>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</si>
  <si>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</si>
  <si>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</si>
  <si>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</si>
  <si>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</si>
  <si>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</si>
  <si>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</si>
  <si>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</si>
  <si>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</si>
  <si>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</si>
  <si>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</si>
  <si>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</si>
  <si>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</si>
  <si>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t>Canapé 3 places convertible 2 couchages</t>
  </si>
  <si>
    <t>Réservé</t>
  </si>
  <si>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t>
    </r>
  </si>
  <si>
    <r>
      <rPr>
        <b/>
        <sz val="8"/>
        <color rgb="FF0070C0"/>
        <rFont val="Aptos Narrow"/>
        <family val="2"/>
        <scheme val="minor"/>
      </rPr>
      <t>Lot de 2 meubles WC 2 portes avec étagères design industriel</t>
    </r>
    <r>
      <rPr>
        <sz val="8"/>
        <color theme="1"/>
        <rFont val="Aptos Narrow"/>
        <family val="2"/>
        <scheme val="minor"/>
      </rPr>
      <t xml:space="preserve">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
</t>
    </r>
  </si>
  <si>
    <r>
      <rPr>
        <b/>
        <sz val="8"/>
        <color rgb="FF0070C0"/>
        <rFont val="Aptos Narrow"/>
        <family val="2"/>
        <scheme val="minor"/>
      </rPr>
      <t xml:space="preserve">Bureau Enfant  110 cm coloris Chêne artisan
</t>
    </r>
    <r>
      <rPr>
        <sz val="8"/>
        <color theme="1"/>
        <rFont val="Aptos Narrow"/>
        <family val="2"/>
        <scheme val="minor"/>
      </rPr>
      <t xml:space="preserve">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Avec ses dimensions compactes, le Bureau Enfant  mesure 110 cm de longueur, 77 cm de hauteur et 55,5 cm de profondeur, ce qui en fait un choix parfait pour les chambres d'enfants où l'espace est précieux. Son poids total de 39 kg assure une stabilité optimale, garantissant ainsi une utilisation sécurisée. 
</t>
    </r>
  </si>
  <si>
    <r>
      <rPr>
        <b/>
        <sz val="8"/>
        <color rgb="FF0070C0"/>
        <rFont val="Aptos Narrow"/>
        <family val="2"/>
        <scheme val="minor"/>
      </rPr>
      <t xml:space="preserve">Fauteuil de bureau, chaise gaming, réglable, repose-pieds télescopique, mécanisme à bascule, appui-tête, support lombaire, charge 150 kg, noir d'encre
</t>
    </r>
    <r>
      <rPr>
        <sz val="8"/>
        <color theme="1"/>
        <rFont val="Aptos Narrow"/>
        <family val="2"/>
        <scheme val="minor"/>
      </rPr>
      <t xml:space="preserve">
Avec une hauteur réglable de 47 à 57 cm et un dossier incunable entre 90° et 135°, ce fauteuil de bureau vous permet de trouver la position pour travailler plus efficacement
Cette chaise ergonomique dispose d'un soutien lombaire, d'un repose-pieds, d'un appui-tête et de roulettes silencieuses en nylon, permettant à votre corps de se reposer pour que vous puissiez vous concentrer sur votre travail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</si>
  <si>
    <t xml:space="preserve">Lit adulte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 </t>
  </si>
  <si>
    <r>
      <rPr>
        <b/>
        <sz val="8"/>
        <color rgb="FF0070C0"/>
        <rFont val="Aptos Narrow"/>
        <family val="2"/>
        <scheme val="minor"/>
      </rPr>
      <t xml:space="preserve">Lot de 2 Chevets 
</t>
    </r>
    <r>
      <rPr>
        <sz val="8"/>
        <color theme="1"/>
        <rFont val="Aptos Narrow"/>
        <family val="2"/>
        <scheme val="minor"/>
      </rPr>
      <t xml:space="preserve">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t>
    </r>
  </si>
  <si>
    <r>
      <rPr>
        <b/>
        <sz val="8"/>
        <color rgb="FF0070C0"/>
        <rFont val="Aptos Narrow"/>
        <family val="2"/>
        <scheme val="minor"/>
      </rPr>
      <t xml:space="preserve">Matelas 140x190 cm 8 HEURES FUTE : Confort et soutien optimal fabriqué en France
</t>
    </r>
    <r>
      <rPr>
        <sz val="8"/>
        <color theme="1"/>
        <rFont val="Aptos Narrow"/>
        <family val="2"/>
        <scheme val="minor"/>
      </rPr>
      <t xml:space="preserv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 
</t>
    </r>
  </si>
  <si>
    <r>
      <rPr>
        <b/>
        <sz val="8"/>
        <color rgb="FF0070C0"/>
        <rFont val="Aptos Narrow"/>
        <family val="2"/>
        <scheme val="minor"/>
      </rPr>
      <t xml:space="preserve">Cadre à lattes fixe 140x190 cm 
</t>
    </r>
    <r>
      <rPr>
        <sz val="8"/>
        <color theme="1"/>
        <rFont val="Aptos Narrow"/>
        <family val="2"/>
        <scheme val="minor"/>
      </rPr>
      <t xml:space="preserve">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 
</t>
    </r>
  </si>
  <si>
    <t xml:space="preserve">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 </t>
  </si>
  <si>
    <r>
      <rPr>
        <b/>
        <sz val="8"/>
        <color rgb="FF0070C0"/>
        <rFont val="Aptos Narrow"/>
        <family val="2"/>
        <scheme val="minor"/>
      </rPr>
      <t xml:space="preserve">Table basse de salon, multifonctionnelle
</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t>
    </r>
  </si>
  <si>
    <r>
      <rPr>
        <b/>
        <sz val="8"/>
        <color rgb="FF0070C0"/>
        <rFont val="Aptos Narrow"/>
        <family val="2"/>
        <scheme val="minor"/>
      </rPr>
      <t xml:space="preserve">Ensemble table rectangulaire 4 chaises 
</t>
    </r>
    <r>
      <rPr>
        <sz val="8"/>
        <color theme="1"/>
        <rFont val="Aptos Narrow"/>
        <family val="2"/>
        <scheme val="minor"/>
      </rPr>
      <t xml:space="preserve">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 
</t>
    </r>
  </si>
  <si>
    <r>
      <rPr>
        <b/>
        <sz val="8"/>
        <color rgb="FF0070C0"/>
        <rFont val="Aptos Narrow"/>
        <family val="2"/>
        <scheme val="minor"/>
      </rPr>
      <t>Desserte cuisine au d</t>
    </r>
    <r>
      <rPr>
        <sz val="8"/>
        <color theme="1"/>
        <rFont val="Aptos Narrow"/>
        <family val="2"/>
        <scheme val="minor"/>
      </rPr>
      <t xml:space="preserve">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
</t>
    </r>
  </si>
  <si>
    <r>
      <rPr>
        <b/>
        <sz val="8"/>
        <color rgb="FF0070C0"/>
        <rFont val="Aptos Narrow"/>
        <family val="2"/>
        <scheme val="minor"/>
      </rPr>
      <t xml:space="preserve">Meuble TV 155 cm 
</t>
    </r>
    <r>
      <rPr>
        <sz val="8"/>
        <color theme="1"/>
        <rFont val="Aptos Narrow"/>
        <family val="2"/>
        <scheme val="minor"/>
      </rPr>
      <t xml:space="preserve">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</si>
  <si>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 xml:space="preserve">Canapé droit convertible 3 places Tissu Gris
</t>
    </r>
    <r>
      <rPr>
        <sz val="8"/>
        <color theme="1"/>
        <rFont val="Aptos Narrow"/>
        <family val="2"/>
        <scheme val="minor"/>
      </rPr>
      <t xml:space="preserve">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</si>
</sst>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2" activePane="bottomLeft" state="frozen"/>
      <selection pane="bottomLeft" activeCell="R2" sqref="R2"/>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15</v>
      </c>
      <c r="B1" s="1" t="s">
        <v>30</v>
      </c>
      <c r="C1" s="2" t="s">
        <v>46</v>
      </c>
      <c r="D1" s="3" t="s">
        <v>8</v>
      </c>
      <c r="E1" s="3" t="s">
        <v>7</v>
      </c>
      <c r="F1" s="3" t="s">
        <v>6</v>
      </c>
      <c r="G1" s="3" t="s">
        <v>9</v>
      </c>
      <c r="H1" s="3" t="s">
        <v>36</v>
      </c>
      <c r="I1" s="23" t="s">
        <v>44</v>
      </c>
      <c r="J1" s="4" t="s">
        <v>13</v>
      </c>
      <c r="K1" s="1" t="s">
        <v>40</v>
      </c>
      <c r="L1" s="5">
        <f>-30%</f>
        <v>-0.3</v>
      </c>
      <c r="M1" s="5">
        <v>-0.4</v>
      </c>
      <c r="N1" s="5">
        <v>-0.5</v>
      </c>
      <c r="O1" s="5">
        <v>-0.6</v>
      </c>
      <c r="P1" s="1" t="s">
        <v>41</v>
      </c>
      <c r="Q1" s="1" t="s">
        <v>42</v>
      </c>
      <c r="R1" s="6" t="s">
        <v>45</v>
      </c>
      <c r="S1" s="26" t="s">
        <v>47</v>
      </c>
      <c r="T1" s="26" t="s">
        <v>48</v>
      </c>
    </row>
    <row r="2" spans="1:20" ht="147" x14ac:dyDescent="0.45">
      <c r="A2" s="7" t="s">
        <v>16</v>
      </c>
      <c r="B2" s="7" t="s">
        <v>31</v>
      </c>
      <c r="C2" s="8" t="s">
        <v>72</v>
      </c>
      <c r="D2" s="9">
        <v>99</v>
      </c>
      <c r="E2" s="9">
        <v>198</v>
      </c>
      <c r="F2" s="9">
        <v>89</v>
      </c>
      <c r="G2" s="10">
        <f t="shared" ref="G2:G14" si="0">(F2*E2*D2)/1000000</f>
        <v>1.744578</v>
      </c>
      <c r="H2" s="10" t="s">
        <v>37</v>
      </c>
      <c r="I2" s="24">
        <v>46054.000983796293</v>
      </c>
      <c r="J2" s="11">
        <v>900</v>
      </c>
      <c r="K2" s="13">
        <f t="shared" ref="K2:K35" si="1">L2</f>
        <v>630</v>
      </c>
      <c r="L2" s="12">
        <f t="shared" ref="L2:O15" si="2">$J2*(100%+L$1)</f>
        <v>630</v>
      </c>
      <c r="M2" s="12">
        <f t="shared" si="2"/>
        <v>540</v>
      </c>
      <c r="N2" s="12">
        <f t="shared" si="2"/>
        <v>450</v>
      </c>
      <c r="O2" s="12">
        <f t="shared" si="2"/>
        <v>360</v>
      </c>
      <c r="P2" s="14" t="s">
        <v>43</v>
      </c>
      <c r="Q2" s="14">
        <v>14</v>
      </c>
      <c r="R2" s="15" t="s">
        <v>87</v>
      </c>
      <c r="S2" s="27" t="s">
        <v>49</v>
      </c>
      <c r="T2" s="27" t="s">
        <v>55</v>
      </c>
    </row>
    <row r="3" spans="1:20" ht="105" x14ac:dyDescent="0.45">
      <c r="A3" s="7" t="s">
        <v>17</v>
      </c>
      <c r="B3" s="7" t="s">
        <v>31</v>
      </c>
      <c r="C3" s="8" t="s">
        <v>0</v>
      </c>
      <c r="D3" s="9">
        <v>100</v>
      </c>
      <c r="E3" s="9">
        <v>60</v>
      </c>
      <c r="F3" s="9">
        <v>45</v>
      </c>
      <c r="G3" s="10">
        <f t="shared" si="0"/>
        <v>0.27</v>
      </c>
      <c r="H3" s="10" t="s">
        <v>37</v>
      </c>
      <c r="I3" s="24">
        <v>46054.000983796293</v>
      </c>
      <c r="J3" s="11">
        <v>150</v>
      </c>
      <c r="K3" s="13">
        <f t="shared" si="1"/>
        <v>105</v>
      </c>
      <c r="L3" s="12">
        <f t="shared" si="2"/>
        <v>105</v>
      </c>
      <c r="M3" s="12">
        <f t="shared" si="2"/>
        <v>90</v>
      </c>
      <c r="N3" s="12">
        <f t="shared" si="2"/>
        <v>75</v>
      </c>
      <c r="O3" s="12">
        <f t="shared" si="2"/>
        <v>60</v>
      </c>
      <c r="P3" s="14" t="s">
        <v>43</v>
      </c>
      <c r="Q3" s="14">
        <v>5</v>
      </c>
      <c r="R3" s="15" t="s">
        <v>83</v>
      </c>
      <c r="S3" s="27" t="s">
        <v>50</v>
      </c>
      <c r="T3" s="27" t="s">
        <v>51</v>
      </c>
    </row>
    <row r="4" spans="1:20" ht="168" x14ac:dyDescent="0.45">
      <c r="A4" s="7" t="s">
        <v>18</v>
      </c>
      <c r="B4" s="7" t="s">
        <v>31</v>
      </c>
      <c r="C4" s="8" t="s">
        <v>1</v>
      </c>
      <c r="D4" s="9">
        <v>155</v>
      </c>
      <c r="E4" s="9">
        <v>40</v>
      </c>
      <c r="F4" s="9">
        <v>43</v>
      </c>
      <c r="G4" s="10">
        <f>(F4*E4*D4)/1000000</f>
        <v>0.2666</v>
      </c>
      <c r="H4" s="10" t="s">
        <v>37</v>
      </c>
      <c r="I4" s="24">
        <v>46054.000983796293</v>
      </c>
      <c r="J4" s="11">
        <v>100</v>
      </c>
      <c r="K4" s="13">
        <f t="shared" si="1"/>
        <v>70</v>
      </c>
      <c r="L4" s="12">
        <f t="shared" si="2"/>
        <v>70</v>
      </c>
      <c r="M4" s="12">
        <f t="shared" si="2"/>
        <v>60</v>
      </c>
      <c r="N4" s="12">
        <f t="shared" si="2"/>
        <v>50</v>
      </c>
      <c r="O4" s="12">
        <f t="shared" si="2"/>
        <v>40</v>
      </c>
      <c r="P4" s="14" t="s">
        <v>43</v>
      </c>
      <c r="Q4" s="14">
        <v>6</v>
      </c>
      <c r="R4" s="15" t="s">
        <v>86</v>
      </c>
      <c r="S4" s="27" t="s">
        <v>52</v>
      </c>
      <c r="T4" s="27" t="s">
        <v>53</v>
      </c>
    </row>
    <row r="5" spans="1:20" ht="210" x14ac:dyDescent="0.45">
      <c r="A5" s="7" t="s">
        <v>19</v>
      </c>
      <c r="B5" s="7" t="s">
        <v>32</v>
      </c>
      <c r="C5" s="8" t="s">
        <v>68</v>
      </c>
      <c r="D5" s="9">
        <v>120</v>
      </c>
      <c r="E5" s="9">
        <v>80</v>
      </c>
      <c r="F5" s="9">
        <v>75</v>
      </c>
      <c r="G5" s="10">
        <f t="shared" si="0"/>
        <v>0.72</v>
      </c>
      <c r="H5" s="10" t="s">
        <v>37</v>
      </c>
      <c r="I5" s="24">
        <v>46054.000983796293</v>
      </c>
      <c r="J5" s="11">
        <v>400</v>
      </c>
      <c r="K5" s="13">
        <f t="shared" si="1"/>
        <v>280</v>
      </c>
      <c r="L5" s="12">
        <f t="shared" si="2"/>
        <v>280</v>
      </c>
      <c r="M5" s="12">
        <f t="shared" si="2"/>
        <v>240</v>
      </c>
      <c r="N5" s="12">
        <f t="shared" si="2"/>
        <v>200</v>
      </c>
      <c r="O5" s="12">
        <f t="shared" si="2"/>
        <v>160</v>
      </c>
      <c r="P5" s="14" t="s">
        <v>43</v>
      </c>
      <c r="Q5" s="14">
        <v>7</v>
      </c>
      <c r="R5" s="15" t="s">
        <v>84</v>
      </c>
      <c r="S5" s="27" t="s">
        <v>54</v>
      </c>
      <c r="T5" s="27" t="s">
        <v>51</v>
      </c>
    </row>
    <row r="6" spans="1:20" ht="210" x14ac:dyDescent="0.45">
      <c r="A6" s="7" t="s">
        <v>20</v>
      </c>
      <c r="B6" s="7" t="s">
        <v>32</v>
      </c>
      <c r="C6" s="8" t="s">
        <v>12</v>
      </c>
      <c r="D6" s="9">
        <v>40</v>
      </c>
      <c r="E6" s="9">
        <v>75</v>
      </c>
      <c r="F6" s="9">
        <v>81</v>
      </c>
      <c r="G6" s="10">
        <f t="shared" si="0"/>
        <v>0.24299999999999999</v>
      </c>
      <c r="H6" s="10" t="s">
        <v>38</v>
      </c>
      <c r="I6" s="24">
        <v>45901.000983796293</v>
      </c>
      <c r="J6" s="11">
        <v>90</v>
      </c>
      <c r="K6" s="13">
        <f t="shared" si="1"/>
        <v>62.999999999999993</v>
      </c>
      <c r="L6" s="12">
        <f t="shared" si="2"/>
        <v>62.999999999999993</v>
      </c>
      <c r="M6" s="12">
        <f t="shared" si="2"/>
        <v>54</v>
      </c>
      <c r="N6" s="12">
        <f t="shared" si="2"/>
        <v>45</v>
      </c>
      <c r="O6" s="12">
        <f t="shared" si="2"/>
        <v>36</v>
      </c>
      <c r="P6" s="14" t="s">
        <v>43</v>
      </c>
      <c r="Q6" s="14">
        <v>9</v>
      </c>
      <c r="R6" s="15" t="s">
        <v>85</v>
      </c>
      <c r="S6" s="27" t="s">
        <v>56</v>
      </c>
      <c r="T6" s="27" t="s">
        <v>57</v>
      </c>
    </row>
    <row r="7" spans="1:20" ht="199.5" x14ac:dyDescent="0.45">
      <c r="A7" s="7" t="s">
        <v>21</v>
      </c>
      <c r="B7" s="7" t="s">
        <v>2</v>
      </c>
      <c r="C7" s="8" t="s">
        <v>2</v>
      </c>
      <c r="D7" s="9">
        <v>110</v>
      </c>
      <c r="E7" s="9">
        <v>55</v>
      </c>
      <c r="F7" s="9">
        <v>77</v>
      </c>
      <c r="G7" s="10">
        <f t="shared" si="0"/>
        <v>0.46584999999999999</v>
      </c>
      <c r="H7" s="10" t="s">
        <v>37</v>
      </c>
      <c r="I7" s="24">
        <v>46054.000983796293</v>
      </c>
      <c r="J7" s="11">
        <v>200</v>
      </c>
      <c r="K7" s="13">
        <f t="shared" si="1"/>
        <v>140</v>
      </c>
      <c r="L7" s="12">
        <f t="shared" si="2"/>
        <v>140</v>
      </c>
      <c r="M7" s="12">
        <f t="shared" si="2"/>
        <v>120</v>
      </c>
      <c r="N7" s="12">
        <f t="shared" si="2"/>
        <v>100</v>
      </c>
      <c r="O7" s="12">
        <f t="shared" si="2"/>
        <v>80</v>
      </c>
      <c r="P7" s="14" t="s">
        <v>43</v>
      </c>
      <c r="Q7" s="14">
        <v>6</v>
      </c>
      <c r="R7" s="15" t="s">
        <v>76</v>
      </c>
      <c r="S7" s="27" t="s">
        <v>58</v>
      </c>
      <c r="T7" s="27" t="s">
        <v>57</v>
      </c>
    </row>
    <row r="8" spans="1:20" ht="315" x14ac:dyDescent="0.45">
      <c r="A8" s="7" t="s">
        <v>22</v>
      </c>
      <c r="B8" s="7" t="s">
        <v>2</v>
      </c>
      <c r="C8" s="8" t="s">
        <v>10</v>
      </c>
      <c r="D8" s="9">
        <v>67</v>
      </c>
      <c r="E8" s="9">
        <v>66</v>
      </c>
      <c r="F8" s="9">
        <v>57</v>
      </c>
      <c r="G8" s="10">
        <f t="shared" si="0"/>
        <v>0.252054</v>
      </c>
      <c r="H8" s="10" t="s">
        <v>38</v>
      </c>
      <c r="I8" s="24">
        <v>46054.000983796293</v>
      </c>
      <c r="J8" s="11">
        <v>130</v>
      </c>
      <c r="K8" s="13">
        <f t="shared" si="1"/>
        <v>91</v>
      </c>
      <c r="L8" s="12">
        <f t="shared" si="2"/>
        <v>91</v>
      </c>
      <c r="M8" s="12">
        <f t="shared" si="2"/>
        <v>78</v>
      </c>
      <c r="N8" s="12">
        <f t="shared" si="2"/>
        <v>65</v>
      </c>
      <c r="O8" s="12">
        <f t="shared" si="2"/>
        <v>52</v>
      </c>
      <c r="P8" s="14" t="s">
        <v>73</v>
      </c>
      <c r="Q8" s="14">
        <v>5</v>
      </c>
      <c r="R8" s="15" t="s">
        <v>77</v>
      </c>
      <c r="S8" s="27" t="s">
        <v>59</v>
      </c>
      <c r="T8" s="27" t="s">
        <v>60</v>
      </c>
    </row>
    <row r="9" spans="1:20" ht="147" x14ac:dyDescent="0.45">
      <c r="A9" s="7" t="s">
        <v>23</v>
      </c>
      <c r="B9" s="7" t="s">
        <v>33</v>
      </c>
      <c r="C9" s="8" t="s">
        <v>3</v>
      </c>
      <c r="D9" s="9">
        <v>195</v>
      </c>
      <c r="E9" s="9">
        <v>149</v>
      </c>
      <c r="F9" s="9">
        <v>72</v>
      </c>
      <c r="G9" s="10">
        <f t="shared" si="0"/>
        <v>2.0919599999999998</v>
      </c>
      <c r="H9" s="10" t="s">
        <v>39</v>
      </c>
      <c r="I9" s="24">
        <v>46054.000983796293</v>
      </c>
      <c r="J9" s="11">
        <v>100</v>
      </c>
      <c r="K9" s="13">
        <f t="shared" si="1"/>
        <v>70</v>
      </c>
      <c r="L9" s="12">
        <f t="shared" si="2"/>
        <v>70</v>
      </c>
      <c r="M9" s="12">
        <f t="shared" si="2"/>
        <v>60</v>
      </c>
      <c r="N9" s="12">
        <f t="shared" si="2"/>
        <v>50</v>
      </c>
      <c r="O9" s="12">
        <f t="shared" si="2"/>
        <v>40</v>
      </c>
      <c r="P9" s="14" t="s">
        <v>43</v>
      </c>
      <c r="Q9" s="14">
        <v>9</v>
      </c>
      <c r="R9" s="15" t="s">
        <v>78</v>
      </c>
      <c r="S9" s="27" t="s">
        <v>61</v>
      </c>
      <c r="T9" s="27" t="s">
        <v>57</v>
      </c>
    </row>
    <row r="10" spans="1:20" ht="168" x14ac:dyDescent="0.45">
      <c r="A10" s="7" t="s">
        <v>24</v>
      </c>
      <c r="B10" s="7" t="s">
        <v>33</v>
      </c>
      <c r="C10" s="8" t="s">
        <v>69</v>
      </c>
      <c r="D10" s="9">
        <v>35</v>
      </c>
      <c r="E10" s="9">
        <v>40</v>
      </c>
      <c r="F10" s="9">
        <v>32</v>
      </c>
      <c r="G10" s="10">
        <f t="shared" si="0"/>
        <v>4.48E-2</v>
      </c>
      <c r="H10" s="10" t="s">
        <v>37</v>
      </c>
      <c r="I10" s="24">
        <v>46054.000983796293</v>
      </c>
      <c r="J10" s="11">
        <v>70</v>
      </c>
      <c r="K10" s="13">
        <f t="shared" si="1"/>
        <v>49</v>
      </c>
      <c r="L10" s="12">
        <f t="shared" si="2"/>
        <v>49</v>
      </c>
      <c r="M10" s="12">
        <f t="shared" si="2"/>
        <v>42</v>
      </c>
      <c r="N10" s="12">
        <f t="shared" si="2"/>
        <v>35</v>
      </c>
      <c r="O10" s="12">
        <f t="shared" si="2"/>
        <v>28</v>
      </c>
      <c r="P10" s="14" t="s">
        <v>43</v>
      </c>
      <c r="Q10" s="14">
        <v>7</v>
      </c>
      <c r="R10" s="15" t="s">
        <v>79</v>
      </c>
      <c r="S10" s="27" t="s">
        <v>61</v>
      </c>
      <c r="T10" s="27" t="s">
        <v>57</v>
      </c>
    </row>
    <row r="11" spans="1:20" ht="189" x14ac:dyDescent="0.45">
      <c r="A11" s="7" t="s">
        <v>25</v>
      </c>
      <c r="B11" s="7" t="s">
        <v>33</v>
      </c>
      <c r="C11" s="8" t="s">
        <v>5</v>
      </c>
      <c r="D11" s="9">
        <v>190</v>
      </c>
      <c r="E11" s="9">
        <v>140</v>
      </c>
      <c r="F11" s="9">
        <v>21</v>
      </c>
      <c r="G11" s="10">
        <f t="shared" si="0"/>
        <v>0.55859999999999999</v>
      </c>
      <c r="H11" s="10" t="s">
        <v>39</v>
      </c>
      <c r="I11" s="24">
        <v>46054.000983796293</v>
      </c>
      <c r="J11" s="11">
        <v>300</v>
      </c>
      <c r="K11" s="13">
        <f t="shared" si="1"/>
        <v>210</v>
      </c>
      <c r="L11" s="12">
        <f t="shared" si="2"/>
        <v>210</v>
      </c>
      <c r="M11" s="12">
        <f t="shared" si="2"/>
        <v>180</v>
      </c>
      <c r="N11" s="12">
        <f t="shared" si="2"/>
        <v>150</v>
      </c>
      <c r="O11" s="12">
        <f t="shared" si="2"/>
        <v>120</v>
      </c>
      <c r="P11" s="14" t="s">
        <v>43</v>
      </c>
      <c r="Q11" s="14">
        <v>7</v>
      </c>
      <c r="R11" s="15" t="s">
        <v>80</v>
      </c>
      <c r="S11" s="27" t="s">
        <v>63</v>
      </c>
      <c r="T11" s="27" t="s">
        <v>62</v>
      </c>
    </row>
    <row r="12" spans="1:20" ht="178.5" x14ac:dyDescent="0.45">
      <c r="A12" s="7" t="s">
        <v>26</v>
      </c>
      <c r="B12" s="7" t="s">
        <v>33</v>
      </c>
      <c r="C12" s="8" t="s">
        <v>11</v>
      </c>
      <c r="D12" s="9">
        <v>190</v>
      </c>
      <c r="E12" s="9">
        <v>140</v>
      </c>
      <c r="F12" s="9">
        <v>5</v>
      </c>
      <c r="G12" s="10">
        <f t="shared" si="0"/>
        <v>0.13300000000000001</v>
      </c>
      <c r="H12" s="10" t="s">
        <v>37</v>
      </c>
      <c r="I12" s="24">
        <v>46054.000983796293</v>
      </c>
      <c r="J12" s="11">
        <v>140</v>
      </c>
      <c r="K12" s="13">
        <f t="shared" si="1"/>
        <v>98</v>
      </c>
      <c r="L12" s="12">
        <f t="shared" si="2"/>
        <v>98</v>
      </c>
      <c r="M12" s="12">
        <f t="shared" si="2"/>
        <v>84</v>
      </c>
      <c r="N12" s="12">
        <f t="shared" si="2"/>
        <v>70</v>
      </c>
      <c r="O12" s="12">
        <f t="shared" si="2"/>
        <v>56</v>
      </c>
      <c r="P12" s="14" t="s">
        <v>43</v>
      </c>
      <c r="Q12" s="14">
        <v>1</v>
      </c>
      <c r="R12" s="15" t="s">
        <v>81</v>
      </c>
      <c r="S12" s="27" t="s">
        <v>49</v>
      </c>
      <c r="T12" s="27" t="s">
        <v>64</v>
      </c>
    </row>
    <row r="13" spans="1:20" ht="168" x14ac:dyDescent="0.45">
      <c r="A13" s="7" t="s">
        <v>27</v>
      </c>
      <c r="B13" s="7" t="s">
        <v>33</v>
      </c>
      <c r="C13" s="8" t="s">
        <v>70</v>
      </c>
      <c r="D13" s="9">
        <v>52</v>
      </c>
      <c r="E13" s="9">
        <v>134</v>
      </c>
      <c r="F13" s="9">
        <v>192</v>
      </c>
      <c r="G13" s="10">
        <f t="shared" si="0"/>
        <v>1.3378559999999999</v>
      </c>
      <c r="H13" s="10" t="s">
        <v>37</v>
      </c>
      <c r="I13" s="24">
        <v>46054.000983796293</v>
      </c>
      <c r="J13" s="11">
        <v>250</v>
      </c>
      <c r="K13" s="13">
        <f t="shared" si="1"/>
        <v>175</v>
      </c>
      <c r="L13" s="12">
        <f t="shared" si="2"/>
        <v>175</v>
      </c>
      <c r="M13" s="12">
        <f t="shared" si="2"/>
        <v>150</v>
      </c>
      <c r="N13" s="12">
        <f t="shared" si="2"/>
        <v>125</v>
      </c>
      <c r="O13" s="12">
        <f t="shared" si="2"/>
        <v>100</v>
      </c>
      <c r="P13" s="14" t="s">
        <v>43</v>
      </c>
      <c r="Q13" s="14">
        <v>8</v>
      </c>
      <c r="R13" s="15" t="s">
        <v>82</v>
      </c>
      <c r="S13" s="27" t="s">
        <v>61</v>
      </c>
      <c r="T13" s="27" t="s">
        <v>57</v>
      </c>
    </row>
    <row r="14" spans="1:20" ht="94.5" x14ac:dyDescent="0.45">
      <c r="A14" s="7" t="s">
        <v>28</v>
      </c>
      <c r="B14" s="7" t="s">
        <v>34</v>
      </c>
      <c r="C14" s="8" t="s">
        <v>4</v>
      </c>
      <c r="D14" s="9">
        <v>70</v>
      </c>
      <c r="E14" s="9">
        <v>33</v>
      </c>
      <c r="F14" s="9">
        <v>180</v>
      </c>
      <c r="G14" s="10">
        <f t="shared" si="0"/>
        <v>0.4158</v>
      </c>
      <c r="H14" s="10" t="s">
        <v>37</v>
      </c>
      <c r="I14" s="24">
        <v>46054.000983796293</v>
      </c>
      <c r="J14" s="11">
        <v>56</v>
      </c>
      <c r="K14" s="13">
        <f t="shared" si="1"/>
        <v>39.199999999999996</v>
      </c>
      <c r="L14" s="12">
        <f t="shared" si="2"/>
        <v>39.199999999999996</v>
      </c>
      <c r="M14" s="12">
        <f t="shared" si="2"/>
        <v>33.6</v>
      </c>
      <c r="N14" s="12">
        <f t="shared" si="2"/>
        <v>28</v>
      </c>
      <c r="O14" s="12">
        <f t="shared" si="2"/>
        <v>22.400000000000002</v>
      </c>
      <c r="P14" s="14" t="s">
        <v>43</v>
      </c>
      <c r="Q14" s="14">
        <v>4</v>
      </c>
      <c r="R14" s="15" t="s">
        <v>74</v>
      </c>
      <c r="S14" s="27" t="s">
        <v>65</v>
      </c>
      <c r="T14" s="27" t="s">
        <v>53</v>
      </c>
    </row>
    <row r="15" spans="1:20" ht="168" x14ac:dyDescent="0.45">
      <c r="A15" s="7" t="s">
        <v>29</v>
      </c>
      <c r="B15" s="7" t="s">
        <v>35</v>
      </c>
      <c r="C15" s="8" t="s">
        <v>71</v>
      </c>
      <c r="G15" s="10"/>
      <c r="H15" s="10" t="s">
        <v>37</v>
      </c>
      <c r="I15" s="24">
        <v>46054.000983796293</v>
      </c>
      <c r="J15" s="11">
        <v>55</v>
      </c>
      <c r="K15" s="13">
        <f t="shared" si="1"/>
        <v>38.5</v>
      </c>
      <c r="L15" s="12">
        <f t="shared" si="2"/>
        <v>38.5</v>
      </c>
      <c r="M15" s="12">
        <f t="shared" si="2"/>
        <v>33</v>
      </c>
      <c r="N15" s="12">
        <f t="shared" si="2"/>
        <v>27.5</v>
      </c>
      <c r="O15" s="12">
        <f t="shared" si="2"/>
        <v>22</v>
      </c>
      <c r="P15" s="14" t="s">
        <v>43</v>
      </c>
      <c r="Q15" s="14">
        <v>6</v>
      </c>
      <c r="R15" s="15" t="s">
        <v>75</v>
      </c>
      <c r="S15" s="27" t="s">
        <v>66</v>
      </c>
      <c r="T15" s="27" t="s">
        <v>67</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14</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display="Canapé"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2026-07-24T07:00:02Z</dcterms:modified>
</cp:coreProperties>
</file>